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Excel Data\"/>
    </mc:Choice>
  </mc:AlternateContent>
  <xr:revisionPtr revIDLastSave="0" documentId="13_ncr:1_{BDC94AD7-16C3-4EFC-84B8-7B18871CA9F8}" xr6:coauthVersionLast="47" xr6:coauthVersionMax="47" xr10:uidLastSave="{00000000-0000-0000-0000-000000000000}"/>
  <bookViews>
    <workbookView xWindow="-110" yWindow="-110" windowWidth="19420" windowHeight="10420" activeTab="2" xr2:uid="{5F0BD14C-B4E3-4469-A1F0-2E24BA91C312}"/>
  </bookViews>
  <sheets>
    <sheet name="Employee_Data" sheetId="1" r:id="rId1"/>
    <sheet name="PivoTables" sheetId="6" r:id="rId2"/>
    <sheet name="Dashboard" sheetId="7" r:id="rId3"/>
  </sheets>
  <definedNames>
    <definedName name="_xlnm._FilterDatabase" localSheetId="0" hidden="1">Employee_Data!$M$2:$M$20</definedName>
    <definedName name="Slicer_City">#N/A</definedName>
  </definedNames>
  <calcPr calcId="191029"/>
  <pivotCaches>
    <pivotCache cacheId="1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1" l="1"/>
  <c r="W5" i="1"/>
  <c r="W6" i="1"/>
  <c r="W7" i="1"/>
  <c r="W8" i="1"/>
  <c r="W3" i="1"/>
  <c r="V4" i="1"/>
  <c r="V5" i="1"/>
  <c r="V6" i="1"/>
  <c r="V7" i="1"/>
  <c r="V8" i="1"/>
  <c r="V3" i="1"/>
  <c r="U4" i="1"/>
  <c r="U5" i="1"/>
  <c r="U6" i="1"/>
  <c r="U7" i="1"/>
  <c r="U8" i="1"/>
  <c r="U3" i="1"/>
  <c r="T4" i="1"/>
  <c r="T5" i="1"/>
  <c r="T6" i="1"/>
  <c r="T7" i="1"/>
  <c r="T8" i="1"/>
  <c r="T3" i="1"/>
  <c r="S4" i="1"/>
  <c r="S5" i="1"/>
  <c r="S6" i="1"/>
  <c r="S7" i="1"/>
  <c r="S8" i="1"/>
  <c r="S3" i="1"/>
</calcChain>
</file>

<file path=xl/sharedStrings.xml><?xml version="1.0" encoding="utf-8"?>
<sst xmlns="http://schemas.openxmlformats.org/spreadsheetml/2006/main" count="232" uniqueCount="138">
  <si>
    <t>City</t>
  </si>
  <si>
    <t>Department</t>
  </si>
  <si>
    <t>Designation</t>
  </si>
  <si>
    <t>Bharuch</t>
  </si>
  <si>
    <t>Marketing</t>
  </si>
  <si>
    <t>Marketing Executive</t>
  </si>
  <si>
    <t>Surat</t>
  </si>
  <si>
    <t>IT</t>
  </si>
  <si>
    <t>Network Engineer</t>
  </si>
  <si>
    <t>Software Engineer</t>
  </si>
  <si>
    <t>Web Developer</t>
  </si>
  <si>
    <t>Production</t>
  </si>
  <si>
    <t>Production Manager</t>
  </si>
  <si>
    <t>Vadodara</t>
  </si>
  <si>
    <t>Database Administrator</t>
  </si>
  <si>
    <t>Valsad</t>
  </si>
  <si>
    <t>System Administrator</t>
  </si>
  <si>
    <t>Emp ID</t>
  </si>
  <si>
    <t>First Name</t>
  </si>
  <si>
    <t>Last Name</t>
  </si>
  <si>
    <t>Gender</t>
  </si>
  <si>
    <t>Joining Date</t>
  </si>
  <si>
    <t>Salary</t>
  </si>
  <si>
    <t>Phone</t>
  </si>
  <si>
    <t>Email</t>
  </si>
  <si>
    <t>Status</t>
  </si>
  <si>
    <t>Suresh</t>
  </si>
  <si>
    <t>Kumar</t>
  </si>
  <si>
    <t>Male</t>
  </si>
  <si>
    <t>suresh.kumar@email.com</t>
  </si>
  <si>
    <t>Active</t>
  </si>
  <si>
    <t>Kavita</t>
  </si>
  <si>
    <t>Nair</t>
  </si>
  <si>
    <t>Female</t>
  </si>
  <si>
    <t>Finance</t>
  </si>
  <si>
    <t>Senior Accountant</t>
  </si>
  <si>
    <t>kavita.nair@email.com</t>
  </si>
  <si>
    <t>Ahmedabad</t>
  </si>
  <si>
    <t>EMP009</t>
  </si>
  <si>
    <t>Vishal</t>
  </si>
  <si>
    <t>Yadav</t>
  </si>
  <si>
    <t>vishal.yadav@email.com</t>
  </si>
  <si>
    <t>EMP012</t>
  </si>
  <si>
    <t>Anjali</t>
  </si>
  <si>
    <t>Gupta</t>
  </si>
  <si>
    <t>HR</t>
  </si>
  <si>
    <t>HR Manager</t>
  </si>
  <si>
    <t>anjali.gupta@email.com</t>
  </si>
  <si>
    <t>Bardoli</t>
  </si>
  <si>
    <t>EMP013</t>
  </si>
  <si>
    <t>Mohit</t>
  </si>
  <si>
    <t>Jain</t>
  </si>
  <si>
    <t>Sales</t>
  </si>
  <si>
    <t>Sales Manager</t>
  </si>
  <si>
    <t>mohit.jain@email.com</t>
  </si>
  <si>
    <t>Navsari</t>
  </si>
  <si>
    <t>EMP003</t>
  </si>
  <si>
    <t>Amit</t>
  </si>
  <si>
    <t>Verma</t>
  </si>
  <si>
    <t>Accountant</t>
  </si>
  <si>
    <t>amit.verma@email.com</t>
  </si>
  <si>
    <t>EMP019</t>
  </si>
  <si>
    <t>Deepak</t>
  </si>
  <si>
    <t>Mishra</t>
  </si>
  <si>
    <t>Finance Executive</t>
  </si>
  <si>
    <t>deepak.mishra@email.com</t>
  </si>
  <si>
    <t>EMP007</t>
  </si>
  <si>
    <t>Rakesh</t>
  </si>
  <si>
    <t>Singh</t>
  </si>
  <si>
    <t>Operations</t>
  </si>
  <si>
    <t>Supervisor</t>
  </si>
  <si>
    <t>rakesh.singh@email.com</t>
  </si>
  <si>
    <t>EMP002</t>
  </si>
  <si>
    <t>Priya</t>
  </si>
  <si>
    <t>Patel</t>
  </si>
  <si>
    <t>HR Executive</t>
  </si>
  <si>
    <t>priya.patel@email.com</t>
  </si>
  <si>
    <t>EMP005</t>
  </si>
  <si>
    <t>Karan</t>
  </si>
  <si>
    <t>Mehta</t>
  </si>
  <si>
    <t>karan.mehta@email.com</t>
  </si>
  <si>
    <t>EMP017</t>
  </si>
  <si>
    <t>Nikhil</t>
  </si>
  <si>
    <t>Das</t>
  </si>
  <si>
    <t>nikhil.das@email.com</t>
  </si>
  <si>
    <t>EMP008</t>
  </si>
  <si>
    <t>Sneha</t>
  </si>
  <si>
    <t>Joshi</t>
  </si>
  <si>
    <t>Admin</t>
  </si>
  <si>
    <t>Office Executive</t>
  </si>
  <si>
    <t>sneha.joshi@email.com</t>
  </si>
  <si>
    <t>EMP001</t>
  </si>
  <si>
    <t>Rahul</t>
  </si>
  <si>
    <t>Sharma</t>
  </si>
  <si>
    <t>rahul.sharma@email.com</t>
  </si>
  <si>
    <t>EMP015</t>
  </si>
  <si>
    <t>Arjun</t>
  </si>
  <si>
    <t>Chauhan</t>
  </si>
  <si>
    <t>Support</t>
  </si>
  <si>
    <t>Technical Support</t>
  </si>
  <si>
    <t>arjun.chauhan@email.com</t>
  </si>
  <si>
    <t>EMP004</t>
  </si>
  <si>
    <t>Neha</t>
  </si>
  <si>
    <t>Shah</t>
  </si>
  <si>
    <t>Sales Executive</t>
  </si>
  <si>
    <t>neha.shah@email.com</t>
  </si>
  <si>
    <t>EMP006</t>
  </si>
  <si>
    <t>Pooja</t>
  </si>
  <si>
    <t>Desai</t>
  </si>
  <si>
    <t>pooja.desai@email.com</t>
  </si>
  <si>
    <t>EMP018</t>
  </si>
  <si>
    <t>Komal</t>
  </si>
  <si>
    <t>Trivedi</t>
  </si>
  <si>
    <t>Receptionist</t>
  </si>
  <si>
    <t>komal.trivedi@email.com</t>
  </si>
  <si>
    <t>EMP014</t>
  </si>
  <si>
    <t>Riya</t>
  </si>
  <si>
    <t>Kapoor</t>
  </si>
  <si>
    <t>riya.kapoor@email.com</t>
  </si>
  <si>
    <t>EMP016</t>
  </si>
  <si>
    <t>Meera</t>
  </si>
  <si>
    <t>Iyer</t>
  </si>
  <si>
    <t>Digital Marketer</t>
  </si>
  <si>
    <t>meera.iyer@email.com</t>
  </si>
  <si>
    <t>Vapi</t>
  </si>
  <si>
    <t>Ankleswar</t>
  </si>
  <si>
    <t>SUB1</t>
  </si>
  <si>
    <t>SUB2</t>
  </si>
  <si>
    <t>SUB3</t>
  </si>
  <si>
    <t>TOTAL</t>
  </si>
  <si>
    <t>MAX</t>
  </si>
  <si>
    <t xml:space="preserve">MIN </t>
  </si>
  <si>
    <t>AVERAGE</t>
  </si>
  <si>
    <t>COUNT</t>
  </si>
  <si>
    <t>Grand Total</t>
  </si>
  <si>
    <t xml:space="preserve"> Total Salary</t>
  </si>
  <si>
    <t>Name</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</si>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</sst>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09]\ #,##0"/>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0" fillId="0" borderId="0" xfId="0" applyAlignment="1">
      <alignment wrapText="1"/>
    </xf>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0" xfId="0" applyNumberFormat="1"/>
    <xf numFmtId="164" fontId="0" fillId="0" borderId="0" xfId="0" applyNumberFormat="1" applyAlignment="1">
      <alignment wrapText="1"/>
    </xf>
    <xf numFmtId="165" fontId="1" fillId="0" borderId="0" xfId="0" applyNumberFormat="1" applyFont="1" applyAlignment="1">
      <alignment horizontal="center" vertical="center" wrapText="1"/>
    </xf>
    <xf numFmtId="165" fontId="0" fillId="0" borderId="0" xfId="0" applyNumberFormat="1" applyAlignment="1">
      <alignment vertical="center" wrapText="1"/>
    </xf>
    <xf numFmtId="165" fontId="0" fillId="0" borderId="0" xfId="0" applyNumberFormat="1"/>
    <xf numFmtId="0" fontId="0" fillId="0" borderId="0" xfId="0"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164" fontId="1" fillId="0" borderId="3" xfId="0" applyNumberFormat="1" applyFont="1" applyBorder="1" applyAlignment="1">
      <alignment horizontal="center" vertical="center" wrapText="1"/>
    </xf>
    <xf numFmtId="165" fontId="1" fillId="0" borderId="3"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0" fontId="2" fillId="0" borderId="1" xfId="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64" fontId="0" fillId="0" borderId="8" xfId="0" applyNumberFormat="1" applyBorder="1" applyAlignment="1">
      <alignment horizontal="center" vertical="center" wrapText="1"/>
    </xf>
    <xf numFmtId="165" fontId="0" fillId="0" borderId="8" xfId="0" applyNumberFormat="1" applyBorder="1" applyAlignment="1">
      <alignment horizontal="center" vertical="center" wrapText="1"/>
    </xf>
    <xf numFmtId="0" fontId="2" fillId="0" borderId="8" xfId="1" applyBorder="1" applyAlignment="1">
      <alignment horizontal="center" vertical="center" wrapText="1"/>
    </xf>
    <xf numFmtId="0" fontId="0" fillId="0" borderId="9" xfId="0"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cellXfs>
  <cellStyles count="2">
    <cellStyle name="Hyperlink" xfId="1" builtinId="8"/>
    <cellStyle name="Normal" xfId="0" builtinId="0"/>
  </cellStyles>
  <dxfs count="12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Data.xlsx]PivoTables!PivotTable1</c:name>
    <c:fmtId val="3"/>
  </c:pivotSource>
  <c:chart>
    <c:title>
      <c:tx>
        <c:rich>
          <a:bodyPr rot="0" spcFirstLastPara="1" vertOverflow="ellipsis" vert="horz" wrap="square" anchor="ctr" anchorCtr="1"/>
          <a:lstStyle/>
          <a:p>
            <a:pPr>
              <a:defRPr sz="1200" b="1" i="1" u="none" strike="noStrike" kern="1200" spc="0" baseline="0">
                <a:solidFill>
                  <a:srgbClr val="FF0000"/>
                </a:solidFill>
                <a:latin typeface="+mn-lt"/>
                <a:ea typeface="+mn-ea"/>
                <a:cs typeface="+mn-cs"/>
              </a:defRPr>
            </a:pPr>
            <a:r>
              <a:rPr lang="en-US" sz="1200" b="1" i="1">
                <a:solidFill>
                  <a:srgbClr val="FF0000"/>
                </a:solidFill>
              </a:rPr>
              <a:t>City</a:t>
            </a:r>
            <a:r>
              <a:rPr lang="en-US" sz="1200" b="1" i="1" baseline="0">
                <a:solidFill>
                  <a:srgbClr val="FF0000"/>
                </a:solidFill>
              </a:rPr>
              <a:t> wise Salary</a:t>
            </a:r>
            <a:endParaRPr lang="en-US" sz="1200" b="1" i="1">
              <a:solidFill>
                <a:srgbClr val="FF0000"/>
              </a:solidFill>
            </a:endParaRPr>
          </a:p>
        </c:rich>
      </c:tx>
      <c:overlay val="0"/>
      <c:spPr>
        <a:noFill/>
        <a:ln>
          <a:noFill/>
        </a:ln>
        <a:effectLst/>
      </c:spPr>
      <c:txPr>
        <a:bodyPr rot="0" spcFirstLastPara="1" vertOverflow="ellipsis" vert="horz" wrap="square" anchor="ctr" anchorCtr="1"/>
        <a:lstStyle/>
        <a:p>
          <a:pPr>
            <a:defRPr sz="12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43186582809222E-2"/>
          <c:y val="0.28766519823788544"/>
          <c:w val="0.90775681341719072"/>
          <c:h val="0.32772139165423703"/>
        </c:manualLayout>
      </c:layout>
      <c:lineChart>
        <c:grouping val="standard"/>
        <c:varyColors val="0"/>
        <c:ser>
          <c:idx val="0"/>
          <c:order val="0"/>
          <c:tx>
            <c:strRef>
              <c:f>PivoTables!$B$3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PivoTables!$A$4:$A$13</c:f>
              <c:strCache>
                <c:ptCount val="9"/>
                <c:pt idx="0">
                  <c:v>Ahmedabad</c:v>
                </c:pt>
                <c:pt idx="1">
                  <c:v>Ankleswar</c:v>
                </c:pt>
                <c:pt idx="2">
                  <c:v>Bardoli</c:v>
                </c:pt>
                <c:pt idx="3">
                  <c:v>Bharuch</c:v>
                </c:pt>
                <c:pt idx="4">
                  <c:v>Navsari</c:v>
                </c:pt>
                <c:pt idx="5">
                  <c:v>Surat</c:v>
                </c:pt>
                <c:pt idx="6">
                  <c:v>Vadodara</c:v>
                </c:pt>
                <c:pt idx="7">
                  <c:v>Valsad</c:v>
                </c:pt>
                <c:pt idx="8">
                  <c:v>Vapi</c:v>
                </c:pt>
              </c:strCache>
            </c:strRef>
          </c:cat>
          <c:val>
            <c:numRef>
              <c:f>PivoTables!$B$4:$B$13</c:f>
              <c:numCache>
                <c:formatCode>#,##0</c:formatCode>
                <c:ptCount val="9"/>
                <c:pt idx="0">
                  <c:v>101000</c:v>
                </c:pt>
                <c:pt idx="1">
                  <c:v>40000</c:v>
                </c:pt>
                <c:pt idx="2">
                  <c:v>133000</c:v>
                </c:pt>
                <c:pt idx="3">
                  <c:v>73000</c:v>
                </c:pt>
                <c:pt idx="4">
                  <c:v>104000</c:v>
                </c:pt>
                <c:pt idx="5">
                  <c:v>275000</c:v>
                </c:pt>
                <c:pt idx="6">
                  <c:v>60000</c:v>
                </c:pt>
                <c:pt idx="7">
                  <c:v>48000</c:v>
                </c:pt>
                <c:pt idx="8">
                  <c:v>39000</c:v>
                </c:pt>
              </c:numCache>
            </c:numRef>
          </c:val>
          <c:smooth val="0"/>
          <c:extLst>
            <c:ext xmlns:c16="http://schemas.microsoft.com/office/drawing/2014/chart" uri="{C3380CC4-5D6E-409C-BE32-E72D297353CC}">
              <c16:uniqueId val="{00000000-1DA6-4835-959B-1E7320A20F8D}"/>
            </c:ext>
          </c:extLst>
        </c:ser>
        <c:dLbls>
          <c:dLblPos val="t"/>
          <c:showLegendKey val="0"/>
          <c:showVal val="1"/>
          <c:showCatName val="0"/>
          <c:showSerName val="0"/>
          <c:showPercent val="0"/>
          <c:showBubbleSize val="0"/>
        </c:dLbls>
        <c:smooth val="0"/>
        <c:axId val="599082880"/>
        <c:axId val="551326752"/>
      </c:lineChart>
      <c:catAx>
        <c:axId val="59908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1326752"/>
        <c:crosses val="autoZero"/>
        <c:auto val="1"/>
        <c:lblAlgn val="ctr"/>
        <c:lblOffset val="100"/>
        <c:noMultiLvlLbl val="0"/>
      </c:catAx>
      <c:valAx>
        <c:axId val="551326752"/>
        <c:scaling>
          <c:orientation val="minMax"/>
        </c:scaling>
        <c:delete val="1"/>
        <c:axPos val="l"/>
        <c:numFmt formatCode="#,##0" sourceLinked="1"/>
        <c:majorTickMark val="none"/>
        <c:minorTickMark val="none"/>
        <c:tickLblPos val="nextTo"/>
        <c:crossAx val="599082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Data.xlsx]PivoTables!PivotTable2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solidFill>
                  <a:srgbClr val="FF0000"/>
                </a:solidFill>
              </a:rPr>
              <a:t>Employee</a:t>
            </a:r>
            <a:r>
              <a:rPr lang="en-US" sz="1200" b="1" i="1" baseline="0">
                <a:solidFill>
                  <a:srgbClr val="FF0000"/>
                </a:solidFill>
              </a:rPr>
              <a:t> Total Salary</a:t>
            </a:r>
            <a:endParaRPr lang="en-US" sz="1200" b="1"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PivoTables!$D$4:$D$9</c:f>
              <c:strCache>
                <c:ptCount val="5"/>
                <c:pt idx="0">
                  <c:v>Anjali</c:v>
                </c:pt>
                <c:pt idx="1">
                  <c:v>Kavita</c:v>
                </c:pt>
                <c:pt idx="2">
                  <c:v>Mohit</c:v>
                </c:pt>
                <c:pt idx="3">
                  <c:v>Suresh</c:v>
                </c:pt>
                <c:pt idx="4">
                  <c:v>Vishal</c:v>
                </c:pt>
              </c:strCache>
            </c:strRef>
          </c:cat>
          <c:val>
            <c:numRef>
              <c:f>PivoTables!$E$4:$E$9</c:f>
              <c:numCache>
                <c:formatCode>#,##0</c:formatCode>
                <c:ptCount val="5"/>
                <c:pt idx="0">
                  <c:v>65000</c:v>
                </c:pt>
                <c:pt idx="1">
                  <c:v>55000</c:v>
                </c:pt>
                <c:pt idx="2">
                  <c:v>62000</c:v>
                </c:pt>
                <c:pt idx="3">
                  <c:v>70000</c:v>
                </c:pt>
                <c:pt idx="4">
                  <c:v>60000</c:v>
                </c:pt>
              </c:numCache>
            </c:numRef>
          </c:val>
          <c:extLst>
            <c:ext xmlns:c16="http://schemas.microsoft.com/office/drawing/2014/chart" uri="{C3380CC4-5D6E-409C-BE32-E72D297353CC}">
              <c16:uniqueId val="{00000000-E6CA-4648-AB42-6D85F9928E44}"/>
            </c:ext>
          </c:extLst>
        </c:ser>
        <c:dLbls>
          <c:dLblPos val="outEnd"/>
          <c:showLegendKey val="0"/>
          <c:showVal val="1"/>
          <c:showCatName val="0"/>
          <c:showSerName val="0"/>
          <c:showPercent val="0"/>
          <c:showBubbleSize val="0"/>
        </c:dLbls>
        <c:gapWidth val="219"/>
        <c:overlap val="-27"/>
        <c:axId val="626259920"/>
        <c:axId val="551359872"/>
      </c:barChart>
      <c:catAx>
        <c:axId val="62625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1359872"/>
        <c:crosses val="autoZero"/>
        <c:auto val="1"/>
        <c:lblAlgn val="ctr"/>
        <c:lblOffset val="100"/>
        <c:noMultiLvlLbl val="0"/>
      </c:catAx>
      <c:valAx>
        <c:axId val="551359872"/>
        <c:scaling>
          <c:orientation val="minMax"/>
        </c:scaling>
        <c:delete val="1"/>
        <c:axPos val="l"/>
        <c:numFmt formatCode="#,##0" sourceLinked="1"/>
        <c:majorTickMark val="none"/>
        <c:minorTickMark val="none"/>
        <c:tickLblPos val="nextTo"/>
        <c:crossAx val="62625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Data.xlsx]PivoTables!PivotTable3</c:name>
    <c:fmtId val="6"/>
  </c:pivotSource>
  <c:chart>
    <c:title>
      <c:tx>
        <c:rich>
          <a:bodyPr rot="0" spcFirstLastPara="1" vertOverflow="ellipsis" vert="horz" wrap="square" anchor="ctr" anchorCtr="1"/>
          <a:lstStyle/>
          <a:p>
            <a:pPr>
              <a:defRPr sz="1200" b="1" i="1" u="none" strike="noStrike" kern="1200" spc="0" baseline="0">
                <a:solidFill>
                  <a:srgbClr val="FF0000"/>
                </a:solidFill>
                <a:latin typeface="+mn-lt"/>
                <a:ea typeface="+mn-ea"/>
                <a:cs typeface="+mn-cs"/>
              </a:defRPr>
            </a:pPr>
            <a:r>
              <a:rPr lang="en-US" sz="1200" b="1" i="1">
                <a:solidFill>
                  <a:srgbClr val="FF0000"/>
                </a:solidFill>
              </a:rPr>
              <a:t>Total Salary By</a:t>
            </a:r>
            <a:r>
              <a:rPr lang="en-US" sz="1200" b="1" i="1" baseline="0">
                <a:solidFill>
                  <a:srgbClr val="FF0000"/>
                </a:solidFill>
              </a:rPr>
              <a:t> department</a:t>
            </a:r>
            <a:endParaRPr lang="en-US" sz="1200" b="1" i="1">
              <a:solidFill>
                <a:srgbClr val="FF0000"/>
              </a:solidFill>
            </a:endParaRPr>
          </a:p>
        </c:rich>
      </c:tx>
      <c:layout>
        <c:manualLayout>
          <c:xMode val="edge"/>
          <c:yMode val="edge"/>
          <c:x val="0.22901734104046245"/>
          <c:y val="7.662835249042145E-2"/>
        </c:manualLayout>
      </c:layout>
      <c:overlay val="0"/>
      <c:spPr>
        <a:noFill/>
        <a:ln>
          <a:noFill/>
        </a:ln>
        <a:effectLst/>
      </c:spPr>
      <c:txPr>
        <a:bodyPr rot="0" spcFirstLastPara="1" vertOverflow="ellipsis" vert="horz" wrap="square" anchor="ctr" anchorCtr="1"/>
        <a:lstStyle/>
        <a:p>
          <a:pPr>
            <a:defRPr sz="12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3E-441B-9D26-ECDBD0E9C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3E-441B-9D26-ECDBD0E9CD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3E-441B-9D26-ECDBD0E9CD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3E-441B-9D26-ECDBD0E9CD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3E-441B-9D26-ECDBD0E9CD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PivoTables!$G$4:$G$9</c:f>
              <c:strCache>
                <c:ptCount val="5"/>
                <c:pt idx="0">
                  <c:v>Finance</c:v>
                </c:pt>
                <c:pt idx="1">
                  <c:v>HR</c:v>
                </c:pt>
                <c:pt idx="2">
                  <c:v>IT</c:v>
                </c:pt>
                <c:pt idx="3">
                  <c:v>Marketing</c:v>
                </c:pt>
                <c:pt idx="4">
                  <c:v>Sales</c:v>
                </c:pt>
              </c:strCache>
            </c:strRef>
          </c:cat>
          <c:val>
            <c:numRef>
              <c:f>PivoTables!$H$4:$H$9</c:f>
              <c:numCache>
                <c:formatCode>#,##0</c:formatCode>
                <c:ptCount val="5"/>
                <c:pt idx="0">
                  <c:v>143000</c:v>
                </c:pt>
                <c:pt idx="1">
                  <c:v>103000</c:v>
                </c:pt>
                <c:pt idx="2">
                  <c:v>245000</c:v>
                </c:pt>
                <c:pt idx="3">
                  <c:v>76000</c:v>
                </c:pt>
                <c:pt idx="4">
                  <c:v>97000</c:v>
                </c:pt>
              </c:numCache>
            </c:numRef>
          </c:val>
          <c:extLst>
            <c:ext xmlns:c16="http://schemas.microsoft.com/office/drawing/2014/chart" uri="{C3380CC4-5D6E-409C-BE32-E72D297353CC}">
              <c16:uniqueId val="{0000000A-A33E-441B-9D26-ECDBD0E9CD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Data.xlsx]PivoTables!PivotTable4</c:name>
    <c:fmtId val="7"/>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sz="1200" b="1" i="1">
                <a:solidFill>
                  <a:srgbClr val="FF0000"/>
                </a:solidFill>
              </a:rPr>
              <a:t>Designation wise Salary</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PivoTables!$K$3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PivoTables!$J$4:$J$9</c:f>
              <c:strCache>
                <c:ptCount val="5"/>
                <c:pt idx="0">
                  <c:v>Database Administrator</c:v>
                </c:pt>
                <c:pt idx="1">
                  <c:v>HR Manager</c:v>
                </c:pt>
                <c:pt idx="2">
                  <c:v>Production Manager</c:v>
                </c:pt>
                <c:pt idx="3">
                  <c:v>Sales Manager</c:v>
                </c:pt>
                <c:pt idx="4">
                  <c:v>Senior Accountant</c:v>
                </c:pt>
              </c:strCache>
            </c:strRef>
          </c:cat>
          <c:val>
            <c:numRef>
              <c:f>PivoTables!$K$4:$K$9</c:f>
              <c:numCache>
                <c:formatCode>#,##0</c:formatCode>
                <c:ptCount val="5"/>
                <c:pt idx="0">
                  <c:v>60000</c:v>
                </c:pt>
                <c:pt idx="1">
                  <c:v>65000</c:v>
                </c:pt>
                <c:pt idx="2">
                  <c:v>70000</c:v>
                </c:pt>
                <c:pt idx="3">
                  <c:v>62000</c:v>
                </c:pt>
                <c:pt idx="4">
                  <c:v>55000</c:v>
                </c:pt>
              </c:numCache>
            </c:numRef>
          </c:val>
          <c:extLst>
            <c:ext xmlns:c16="http://schemas.microsoft.com/office/drawing/2014/chart" uri="{C3380CC4-5D6E-409C-BE32-E72D297353CC}">
              <c16:uniqueId val="{00000000-77F2-4404-8408-768FC0D62BE0}"/>
            </c:ext>
          </c:extLst>
        </c:ser>
        <c:dLbls>
          <c:dLblPos val="outEnd"/>
          <c:showLegendKey val="0"/>
          <c:showVal val="1"/>
          <c:showCatName val="0"/>
          <c:showSerName val="0"/>
          <c:showPercent val="0"/>
          <c:showBubbleSize val="0"/>
        </c:dLbls>
        <c:gapWidth val="150"/>
        <c:axId val="599040992"/>
        <c:axId val="649149920"/>
      </c:barChart>
      <c:catAx>
        <c:axId val="599040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9149920"/>
        <c:crosses val="autoZero"/>
        <c:auto val="1"/>
        <c:lblAlgn val="ctr"/>
        <c:lblOffset val="100"/>
        <c:noMultiLvlLbl val="0"/>
      </c:catAx>
      <c:valAx>
        <c:axId val="649149920"/>
        <c:scaling>
          <c:orientation val="minMax"/>
        </c:scaling>
        <c:delete val="1"/>
        <c:axPos val="b"/>
        <c:numFmt formatCode="#,##0" sourceLinked="1"/>
        <c:majorTickMark val="out"/>
        <c:minorTickMark val="none"/>
        <c:tickLblPos val="nextTo"/>
        <c:crossAx val="599040992"/>
        <c:crosses val="autoZero"/>
        <c:crossBetween val="between"/>
      </c:valAx>
      <c:spPr>
        <a:noFill/>
        <a:ln>
          <a:solidFill>
            <a:sysClr val="window" lastClr="FFFFFF"/>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Data.xlsx]PivoTables!PivotTable11</c:name>
    <c:fmtId val="11"/>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sz="1200" b="1" i="1">
                <a:solidFill>
                  <a:srgbClr val="FF0000"/>
                </a:solidFill>
              </a:rPr>
              <a:t>Count</a:t>
            </a:r>
            <a:r>
              <a:rPr lang="en-US" sz="1200" b="1" i="1" baseline="0">
                <a:solidFill>
                  <a:srgbClr val="FF0000"/>
                </a:solidFill>
              </a:rPr>
              <a:t> Employees By Gender</a:t>
            </a:r>
            <a:endParaRPr lang="en-US" sz="1200"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9BD5">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PivoTables!$N$3</c:f>
              <c:strCache>
                <c:ptCount val="1"/>
                <c:pt idx="0">
                  <c:v>Total</c:v>
                </c:pt>
              </c:strCache>
            </c:strRef>
          </c:tx>
          <c:spPr>
            <a:solidFill>
              <a:srgbClr val="5B9BD5">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PivoTables!$M$4:$M$6</c:f>
              <c:strCache>
                <c:ptCount val="2"/>
                <c:pt idx="0">
                  <c:v>Female</c:v>
                </c:pt>
                <c:pt idx="1">
                  <c:v>Male</c:v>
                </c:pt>
              </c:strCache>
            </c:strRef>
          </c:cat>
          <c:val>
            <c:numRef>
              <c:f>PivoTables!$N$4:$N$6</c:f>
              <c:numCache>
                <c:formatCode>#,##0</c:formatCode>
                <c:ptCount val="2"/>
                <c:pt idx="0">
                  <c:v>9</c:v>
                </c:pt>
                <c:pt idx="1">
                  <c:v>10</c:v>
                </c:pt>
              </c:numCache>
            </c:numRef>
          </c:val>
          <c:extLst>
            <c:ext xmlns:c16="http://schemas.microsoft.com/office/drawing/2014/chart" uri="{C3380CC4-5D6E-409C-BE32-E72D297353CC}">
              <c16:uniqueId val="{00000000-D438-4122-A274-0023287108DB}"/>
            </c:ext>
          </c:extLst>
        </c:ser>
        <c:dLbls>
          <c:dLblPos val="outEnd"/>
          <c:showLegendKey val="0"/>
          <c:showVal val="1"/>
          <c:showCatName val="0"/>
          <c:showSerName val="0"/>
          <c:showPercent val="0"/>
          <c:showBubbleSize val="0"/>
        </c:dLbls>
        <c:gapWidth val="182"/>
        <c:axId val="641779760"/>
        <c:axId val="649153280"/>
      </c:barChart>
      <c:catAx>
        <c:axId val="641779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9153280"/>
        <c:crosses val="autoZero"/>
        <c:auto val="1"/>
        <c:lblAlgn val="ctr"/>
        <c:lblOffset val="100"/>
        <c:noMultiLvlLbl val="0"/>
      </c:catAx>
      <c:valAx>
        <c:axId val="649153280"/>
        <c:scaling>
          <c:orientation val="minMax"/>
        </c:scaling>
        <c:delete val="1"/>
        <c:axPos val="b"/>
        <c:numFmt formatCode="#,##0" sourceLinked="1"/>
        <c:majorTickMark val="out"/>
        <c:minorTickMark val="none"/>
        <c:tickLblPos val="nextTo"/>
        <c:crossAx val="64177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31750</xdr:colOff>
      <xdr:row>0</xdr:row>
      <xdr:rowOff>76200</xdr:rowOff>
    </xdr:from>
    <xdr:to>
      <xdr:col>11</xdr:col>
      <xdr:colOff>514350</xdr:colOff>
      <xdr:row>9</xdr:row>
      <xdr:rowOff>50800</xdr:rowOff>
    </xdr:to>
    <xdr:graphicFrame macro="">
      <xdr:nvGraphicFramePr>
        <xdr:cNvPr id="2" name="Chart 1">
          <a:extLst>
            <a:ext uri="{FF2B5EF4-FFF2-40B4-BE49-F238E27FC236}">
              <a16:creationId xmlns:a16="http://schemas.microsoft.com/office/drawing/2014/main" id="{5F30C555-5009-4614-8E8D-A6173540F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31750</xdr:colOff>
      <xdr:row>9</xdr:row>
      <xdr:rowOff>95250</xdr:rowOff>
    </xdr:from>
    <xdr:to>
      <xdr:col>11</xdr:col>
      <xdr:colOff>520700</xdr:colOff>
      <xdr:row>19</xdr:row>
      <xdr:rowOff>177800</xdr:rowOff>
    </xdr:to>
    <xdr:graphicFrame macro="">
      <xdr:nvGraphicFramePr>
        <xdr:cNvPr id="9" name="Chart 8">
          <a:extLst>
            <a:ext uri="{FF2B5EF4-FFF2-40B4-BE49-F238E27FC236}">
              <a16:creationId xmlns:a16="http://schemas.microsoft.com/office/drawing/2014/main" id="{43929B07-F17F-412D-AC3B-D31C5558D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9</xdr:row>
      <xdr:rowOff>101600</xdr:rowOff>
    </xdr:from>
    <xdr:to>
      <xdr:col>5</xdr:col>
      <xdr:colOff>0</xdr:colOff>
      <xdr:row>19</xdr:row>
      <xdr:rowOff>177800</xdr:rowOff>
    </xdr:to>
    <xdr:graphicFrame macro="">
      <xdr:nvGraphicFramePr>
        <xdr:cNvPr id="14" name="Chart 13">
          <a:extLst>
            <a:ext uri="{FF2B5EF4-FFF2-40B4-BE49-F238E27FC236}">
              <a16:creationId xmlns:a16="http://schemas.microsoft.com/office/drawing/2014/main" id="{ACCC6EB8-8D54-4BBF-97CB-C885FD28D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546100</xdr:colOff>
      <xdr:row>0</xdr:row>
      <xdr:rowOff>76200</xdr:rowOff>
    </xdr:from>
    <xdr:to>
      <xdr:col>19</xdr:col>
      <xdr:colOff>50801</xdr:colOff>
      <xdr:row>9</xdr:row>
      <xdr:rowOff>57150</xdr:rowOff>
    </xdr:to>
    <xdr:graphicFrame macro="">
      <xdr:nvGraphicFramePr>
        <xdr:cNvPr id="17" name="Chart 16">
          <a:extLst>
            <a:ext uri="{FF2B5EF4-FFF2-40B4-BE49-F238E27FC236}">
              <a16:creationId xmlns:a16="http://schemas.microsoft.com/office/drawing/2014/main" id="{C3D6FE41-2756-48B7-B985-AB66A7BA1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50800</xdr:colOff>
      <xdr:row>0</xdr:row>
      <xdr:rowOff>69851</xdr:rowOff>
    </xdr:from>
    <xdr:to>
      <xdr:col>4</xdr:col>
      <xdr:colOff>603250</xdr:colOff>
      <xdr:row>9</xdr:row>
      <xdr:rowOff>50800</xdr:rowOff>
    </xdr:to>
    <mc:AlternateContent xmlns:mc="http://schemas.openxmlformats.org/markup-compatibility/2006">
      <mc:Choice xmlns:a14="http://schemas.microsoft.com/office/drawing/2010/main" Requires="a14">
        <xdr:graphicFrame macro="">
          <xdr:nvGraphicFramePr>
            <xdr:cNvPr id="18" name="City">
              <a:extLst>
                <a:ext uri="{FF2B5EF4-FFF2-40B4-BE49-F238E27FC236}">
                  <a16:creationId xmlns:a16="http://schemas.microsoft.com/office/drawing/2014/main" id="{DB5E6D1A-5A94-2429-684E-1DD9218699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0800" y="69851"/>
              <a:ext cx="2990850" cy="16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558800</xdr:colOff>
      <xdr:row>9</xdr:row>
      <xdr:rowOff>88900</xdr:rowOff>
    </xdr:from>
    <xdr:to>
      <xdr:col>19</xdr:col>
      <xdr:colOff>44450</xdr:colOff>
      <xdr:row>20</xdr:row>
      <xdr:rowOff>0</xdr:rowOff>
    </xdr:to>
    <xdr:graphicFrame macro="">
      <xdr:nvGraphicFramePr>
        <xdr:cNvPr id="20" name="Chart 19">
          <a:extLst>
            <a:ext uri="{FF2B5EF4-FFF2-40B4-BE49-F238E27FC236}">
              <a16:creationId xmlns:a16="http://schemas.microsoft.com/office/drawing/2014/main" id="{7BA20E73-65D9-4B49-81BF-AA50EEEAB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_10" refreshedDate="46321.387041203707" createdVersion="8" refreshedVersion="8" minRefreshableVersion="3" recordCount="19" xr:uid="{13607204-B942-4E73-8038-7862581F0709}">
  <cacheSource type="worksheet">
    <worksheetSource name="Table3"/>
  </cacheSource>
  <cacheFields count="12">
    <cacheField name="Emp ID" numFmtId="0">
      <sharedItems count="17">
        <s v="EMP001"/>
        <s v="EMP002"/>
        <s v="EMP009"/>
        <s v="EMP012"/>
        <s v="EMP013"/>
        <s v="EMP003"/>
        <s v="EMP019"/>
        <s v="EMP007"/>
        <s v="EMP005"/>
        <s v="EMP017"/>
        <s v="EMP008"/>
        <s v="EMP015"/>
        <s v="EMP004"/>
        <s v="EMP006"/>
        <s v="EMP018"/>
        <s v="EMP014"/>
        <s v="EMP016"/>
      </sharedItems>
    </cacheField>
    <cacheField name="First Name" numFmtId="0">
      <sharedItems count="19">
        <s v="Suresh"/>
        <s v="Kavita"/>
        <s v="Vishal"/>
        <s v="Anjali"/>
        <s v="Mohit"/>
        <s v="Amit"/>
        <s v="Deepak"/>
        <s v="Rakesh"/>
        <s v="Priya"/>
        <s v="Karan"/>
        <s v="Nikhil"/>
        <s v="Sneha"/>
        <s v="Rahul"/>
        <s v="Arjun"/>
        <s v="Neha"/>
        <s v="Pooja"/>
        <s v="Komal"/>
        <s v="Riya"/>
        <s v="Meera"/>
      </sharedItems>
    </cacheField>
    <cacheField name="Last Name" numFmtId="0">
      <sharedItems/>
    </cacheField>
    <cacheField name="Gender" numFmtId="0">
      <sharedItems count="2">
        <s v="Male"/>
        <s v="Female"/>
      </sharedItems>
    </cacheField>
    <cacheField name="Department" numFmtId="0">
      <sharedItems count="9">
        <s v="Production"/>
        <s v="Finance"/>
        <s v="IT"/>
        <s v="HR"/>
        <s v="Sales"/>
        <s v="Operations"/>
        <s v="Admin"/>
        <s v="Support"/>
        <s v="Marketing"/>
      </sharedItems>
    </cacheField>
    <cacheField name="Designation" numFmtId="0">
      <sharedItems count="19">
        <s v="Production Manager"/>
        <s v="Senior Accountant"/>
        <s v="Database Administrator"/>
        <s v="HR Manager"/>
        <s v="Sales Manager"/>
        <s v="Accountant"/>
        <s v="Finance Executive"/>
        <s v="Supervisor"/>
        <s v="HR Executive"/>
        <s v="System Administrator"/>
        <s v="Network Engineer"/>
        <s v="Office Executive"/>
        <s v="Software Engineer"/>
        <s v="Technical Support"/>
        <s v="Sales Executive"/>
        <s v="Marketing Executive"/>
        <s v="Receptionist"/>
        <s v="Web Developer"/>
        <s v="Digital Marketer"/>
      </sharedItems>
    </cacheField>
    <cacheField name="Joining Date" numFmtId="164">
      <sharedItems containsSemiMixedTypes="0" containsNonDate="0" containsDate="1" containsString="0" minDate="2018-11-25T00:00:00" maxDate="2024-04-22T00:00:00"/>
    </cacheField>
    <cacheField name="Salary" numFmtId="165">
      <sharedItems containsSemiMixedTypes="0" containsString="0" containsNumber="1" containsInteger="1" minValue="30000" maxValue="70000"/>
    </cacheField>
    <cacheField name="Phone" numFmtId="0">
      <sharedItems containsSemiMixedTypes="0" containsString="0" containsNumber="1" containsInteger="1" minValue="9876543210" maxValue="9876543228"/>
    </cacheField>
    <cacheField name="Email" numFmtId="0">
      <sharedItems/>
    </cacheField>
    <cacheField name="City" numFmtId="0">
      <sharedItems count="9">
        <s v="Surat"/>
        <s v="Ahmedabad"/>
        <s v="Vadodara"/>
        <s v="Bardoli"/>
        <s v="Navsari"/>
        <s v="Ankleswar"/>
        <s v="Valsad"/>
        <s v="Bharuch"/>
        <s v="Vapi"/>
      </sharedItems>
    </cacheField>
    <cacheField name="Status" numFmtId="0">
      <sharedItems count="1">
        <s v="Active"/>
      </sharedItems>
    </cacheField>
  </cacheFields>
  <extLst>
    <ext xmlns:x14="http://schemas.microsoft.com/office/spreadsheetml/2009/9/main" uri="{725AE2AE-9491-48be-B2B4-4EB974FC3084}">
      <x14:pivotCacheDefinition pivotCacheId="308346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s v="Kumar"/>
    <x v="0"/>
    <x v="0"/>
    <x v="0"/>
    <d v="2018-11-25T00:00:00"/>
    <n v="70000"/>
    <n v="9876543220"/>
    <s v="suresh.kumar@email.com"/>
    <x v="0"/>
    <x v="0"/>
  </r>
  <r>
    <x v="1"/>
    <x v="1"/>
    <s v="Nair"/>
    <x v="1"/>
    <x v="1"/>
    <x v="1"/>
    <d v="2019-10-19T00:00:00"/>
    <n v="55000"/>
    <n v="9876543219"/>
    <s v="kavita.nair@email.com"/>
    <x v="1"/>
    <x v="0"/>
  </r>
  <r>
    <x v="2"/>
    <x v="2"/>
    <s v="Yadav"/>
    <x v="0"/>
    <x v="2"/>
    <x v="2"/>
    <d v="2020-09-11T00:00:00"/>
    <n v="60000"/>
    <n v="9876543218"/>
    <s v="vishal.yadav@email.com"/>
    <x v="2"/>
    <x v="0"/>
  </r>
  <r>
    <x v="3"/>
    <x v="3"/>
    <s v="Gupta"/>
    <x v="1"/>
    <x v="3"/>
    <x v="3"/>
    <d v="2020-12-14T00:00:00"/>
    <n v="65000"/>
    <n v="9876543221"/>
    <s v="anjali.gupta@email.com"/>
    <x v="3"/>
    <x v="0"/>
  </r>
  <r>
    <x v="4"/>
    <x v="4"/>
    <s v="Jain"/>
    <x v="0"/>
    <x v="4"/>
    <x v="4"/>
    <d v="2021-01-09T00:00:00"/>
    <n v="62000"/>
    <n v="9876543222"/>
    <s v="mohit.jain@email.com"/>
    <x v="4"/>
    <x v="0"/>
  </r>
  <r>
    <x v="5"/>
    <x v="5"/>
    <s v="Verma"/>
    <x v="0"/>
    <x v="1"/>
    <x v="5"/>
    <d v="2021-03-20T00:00:00"/>
    <n v="42000"/>
    <n v="9876543212"/>
    <s v="amit.verma@email.com"/>
    <x v="4"/>
    <x v="0"/>
  </r>
  <r>
    <x v="6"/>
    <x v="6"/>
    <s v="Mishra"/>
    <x v="0"/>
    <x v="1"/>
    <x v="6"/>
    <d v="2021-07-03T00:00:00"/>
    <n v="46000"/>
    <n v="9876543228"/>
    <s v="deepak.mishra@email.com"/>
    <x v="1"/>
    <x v="0"/>
  </r>
  <r>
    <x v="7"/>
    <x v="7"/>
    <s v="Singh"/>
    <x v="0"/>
    <x v="5"/>
    <x v="7"/>
    <d v="2021-07-22T00:00:00"/>
    <n v="40000"/>
    <n v="9876543216"/>
    <s v="rakesh.singh@email.com"/>
    <x v="5"/>
    <x v="0"/>
  </r>
  <r>
    <x v="1"/>
    <x v="8"/>
    <s v="Patel"/>
    <x v="1"/>
    <x v="3"/>
    <x v="8"/>
    <d v="2022-02-15T00:00:00"/>
    <n v="38000"/>
    <n v="9876543211"/>
    <s v="priya.patel@email.com"/>
    <x v="3"/>
    <x v="0"/>
  </r>
  <r>
    <x v="8"/>
    <x v="9"/>
    <s v="Mehta"/>
    <x v="0"/>
    <x v="2"/>
    <x v="9"/>
    <d v="2022-05-01T00:00:00"/>
    <n v="48000"/>
    <n v="9876543214"/>
    <s v="karan.mehta@email.com"/>
    <x v="6"/>
    <x v="0"/>
  </r>
  <r>
    <x v="9"/>
    <x v="10"/>
    <s v="Das"/>
    <x v="0"/>
    <x v="2"/>
    <x v="10"/>
    <d v="2022-05-16T00:00:00"/>
    <n v="52000"/>
    <n v="9876543226"/>
    <s v="nikhil.das@email.com"/>
    <x v="0"/>
    <x v="0"/>
  </r>
  <r>
    <x v="10"/>
    <x v="11"/>
    <s v="Joshi"/>
    <x v="1"/>
    <x v="6"/>
    <x v="11"/>
    <d v="2022-08-08T00:00:00"/>
    <n v="33000"/>
    <n v="9876543217"/>
    <s v="sneha.joshi@email.com"/>
    <x v="0"/>
    <x v="0"/>
  </r>
  <r>
    <x v="0"/>
    <x v="12"/>
    <s v="Sharma"/>
    <x v="0"/>
    <x v="2"/>
    <x v="12"/>
    <d v="2023-01-10T00:00:00"/>
    <n v="45000"/>
    <n v="9876543210"/>
    <s v="rahul.sharma@email.com"/>
    <x v="0"/>
    <x v="0"/>
  </r>
  <r>
    <x v="11"/>
    <x v="13"/>
    <s v="Chauhan"/>
    <x v="0"/>
    <x v="7"/>
    <x v="13"/>
    <d v="2023-03-05T00:00:00"/>
    <n v="36000"/>
    <n v="9876543224"/>
    <s v="arjun.chauhan@email.com"/>
    <x v="7"/>
    <x v="0"/>
  </r>
  <r>
    <x v="12"/>
    <x v="14"/>
    <s v="Shah"/>
    <x v="1"/>
    <x v="4"/>
    <x v="14"/>
    <d v="2023-04-12T00:00:00"/>
    <n v="35000"/>
    <n v="9876543213"/>
    <s v="neha.shah@email.com"/>
    <x v="0"/>
    <x v="0"/>
  </r>
  <r>
    <x v="13"/>
    <x v="15"/>
    <s v="Desai"/>
    <x v="1"/>
    <x v="8"/>
    <x v="15"/>
    <d v="2023-06-18T00:00:00"/>
    <n v="37000"/>
    <n v="9876543215"/>
    <s v="pooja.desai@email.com"/>
    <x v="7"/>
    <x v="0"/>
  </r>
  <r>
    <x v="14"/>
    <x v="16"/>
    <s v="Trivedi"/>
    <x v="1"/>
    <x v="6"/>
    <x v="16"/>
    <d v="2023-06-27T00:00:00"/>
    <n v="30000"/>
    <n v="9876543227"/>
    <s v="komal.trivedi@email.com"/>
    <x v="3"/>
    <x v="0"/>
  </r>
  <r>
    <x v="15"/>
    <x v="17"/>
    <s v="Kapoor"/>
    <x v="1"/>
    <x v="2"/>
    <x v="17"/>
    <d v="2024-02-17T00:00:00"/>
    <n v="40000"/>
    <n v="9876543223"/>
    <s v="riya.kapoor@email.com"/>
    <x v="0"/>
    <x v="0"/>
  </r>
  <r>
    <x v="16"/>
    <x v="18"/>
    <s v="Iyer"/>
    <x v="1"/>
    <x v="8"/>
    <x v="18"/>
    <d v="2024-04-21T00:00:00"/>
    <n v="39000"/>
    <n v="9876543225"/>
    <s v="meera.iyer@email.com"/>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C6C603-A59B-4D0D-A209-4D7969334CC2}"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M3:N6" firstHeaderRow="1" firstDataRow="1" firstDataCol="1"/>
  <pivotFields count="12">
    <pivotField showAll="0">
      <items count="18">
        <item x="0"/>
        <item x="1"/>
        <item x="5"/>
        <item x="12"/>
        <item x="8"/>
        <item x="13"/>
        <item x="7"/>
        <item x="10"/>
        <item x="2"/>
        <item x="3"/>
        <item x="4"/>
        <item x="15"/>
        <item x="11"/>
        <item x="16"/>
        <item x="9"/>
        <item x="14"/>
        <item x="6"/>
        <item t="default"/>
      </items>
    </pivotField>
    <pivotField showAll="0" measureFilter="1">
      <items count="20">
        <item x="5"/>
        <item x="3"/>
        <item x="13"/>
        <item x="6"/>
        <item x="9"/>
        <item x="1"/>
        <item x="16"/>
        <item x="18"/>
        <item x="4"/>
        <item x="14"/>
        <item x="10"/>
        <item x="15"/>
        <item x="8"/>
        <item x="12"/>
        <item x="7"/>
        <item x="17"/>
        <item x="11"/>
        <item x="0"/>
        <item x="2"/>
        <item t="default"/>
      </items>
    </pivotField>
    <pivotField showAll="0"/>
    <pivotField axis="axisRow" showAll="0" measureFilter="1">
      <items count="3">
        <item x="1"/>
        <item x="0"/>
        <item t="default"/>
      </items>
    </pivotField>
    <pivotField showAll="0">
      <items count="10">
        <item x="6"/>
        <item x="1"/>
        <item x="3"/>
        <item x="2"/>
        <item x="8"/>
        <item x="5"/>
        <item x="0"/>
        <item x="4"/>
        <item x="7"/>
        <item t="default"/>
      </items>
    </pivotField>
    <pivotField showAll="0"/>
    <pivotField numFmtId="164" showAll="0"/>
    <pivotField numFmtId="165" showAll="0"/>
    <pivotField showAll="0"/>
    <pivotField showAll="0"/>
    <pivotField showAll="0">
      <items count="10">
        <item x="1"/>
        <item x="5"/>
        <item x="3"/>
        <item x="7"/>
        <item x="4"/>
        <item x="0"/>
        <item x="2"/>
        <item x="6"/>
        <item x="8"/>
        <item t="default"/>
      </items>
    </pivotField>
    <pivotField dataField="1" showAll="0">
      <items count="2">
        <item x="0"/>
        <item t="default"/>
      </items>
    </pivotField>
  </pivotFields>
  <rowFields count="1">
    <field x="3"/>
  </rowFields>
  <rowItems count="3">
    <i>
      <x/>
    </i>
    <i>
      <x v="1"/>
    </i>
    <i t="grand">
      <x/>
    </i>
  </rowItems>
  <colItems count="1">
    <i/>
  </colItems>
  <dataFields count="1">
    <dataField name="Count of Status" fld="11" subtotal="count" baseField="0" baseItem="0"/>
  </dataFields>
  <formats count="1">
    <format dxfId="100">
      <pivotArea outline="0" collapsedLevelsAreSubtotals="1" fieldPosition="0"/>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4" iMeasureFld="0">
      <autoFilter ref="A1">
        <filterColumn colId="0">
          <top10 val="5" filterVal="5"/>
        </filterColumn>
      </autoFilter>
    </filter>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3136E-D87E-458F-8874-00102A065280}"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signation">
  <location ref="J3:K9" firstHeaderRow="1" firstDataRow="1" firstDataCol="1"/>
  <pivotFields count="12">
    <pivotField showAll="0"/>
    <pivotField showAll="0"/>
    <pivotField showAll="0"/>
    <pivotField showAll="0"/>
    <pivotField showAll="0"/>
    <pivotField axis="axisRow" showAll="0" measureFilter="1">
      <items count="20">
        <item x="5"/>
        <item x="2"/>
        <item x="18"/>
        <item x="6"/>
        <item x="8"/>
        <item x="3"/>
        <item x="15"/>
        <item x="10"/>
        <item x="11"/>
        <item x="0"/>
        <item x="16"/>
        <item x="14"/>
        <item x="4"/>
        <item x="1"/>
        <item x="12"/>
        <item x="7"/>
        <item x="9"/>
        <item x="13"/>
        <item x="17"/>
        <item t="default"/>
      </items>
    </pivotField>
    <pivotField numFmtId="164" showAll="0"/>
    <pivotField dataField="1" numFmtId="165" showAll="0"/>
    <pivotField showAll="0"/>
    <pivotField showAll="0"/>
    <pivotField showAll="0">
      <items count="10">
        <item x="1"/>
        <item x="5"/>
        <item x="3"/>
        <item x="7"/>
        <item x="4"/>
        <item x="0"/>
        <item x="2"/>
        <item x="6"/>
        <item x="8"/>
        <item t="default"/>
      </items>
    </pivotField>
    <pivotField showAll="0"/>
  </pivotFields>
  <rowFields count="1">
    <field x="5"/>
  </rowFields>
  <rowItems count="6">
    <i>
      <x v="1"/>
    </i>
    <i>
      <x v="5"/>
    </i>
    <i>
      <x v="9"/>
    </i>
    <i>
      <x v="12"/>
    </i>
    <i>
      <x v="13"/>
    </i>
    <i t="grand">
      <x/>
    </i>
  </rowItems>
  <colItems count="1">
    <i/>
  </colItems>
  <dataFields count="1">
    <dataField name=" Total Salary" fld="7" baseField="0" baseItem="0" numFmtId="3"/>
  </dataFields>
  <formats count="1">
    <format dxfId="10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68A51-A2CC-41B2-8663-24AEB87D9C54}"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G3:H9" firstHeaderRow="1" firstDataRow="1" firstDataCol="1"/>
  <pivotFields count="12">
    <pivotField showAll="0"/>
    <pivotField showAll="0"/>
    <pivotField showAll="0"/>
    <pivotField showAll="0"/>
    <pivotField axis="axisRow" showAll="0" measureFilter="1">
      <items count="10">
        <item x="6"/>
        <item x="1"/>
        <item x="3"/>
        <item x="2"/>
        <item x="8"/>
        <item x="5"/>
        <item x="0"/>
        <item x="4"/>
        <item x="7"/>
        <item t="default"/>
      </items>
    </pivotField>
    <pivotField showAll="0"/>
    <pivotField numFmtId="164" showAll="0"/>
    <pivotField dataField="1" numFmtId="165" showAll="0"/>
    <pivotField showAll="0"/>
    <pivotField showAll="0"/>
    <pivotField showAll="0">
      <items count="10">
        <item x="1"/>
        <item x="5"/>
        <item x="3"/>
        <item x="7"/>
        <item x="4"/>
        <item x="0"/>
        <item x="2"/>
        <item x="6"/>
        <item x="8"/>
        <item t="default"/>
      </items>
    </pivotField>
    <pivotField showAll="0"/>
  </pivotFields>
  <rowFields count="1">
    <field x="4"/>
  </rowFields>
  <rowItems count="6">
    <i>
      <x v="1"/>
    </i>
    <i>
      <x v="2"/>
    </i>
    <i>
      <x v="3"/>
    </i>
    <i>
      <x v="4"/>
    </i>
    <i>
      <x v="7"/>
    </i>
    <i t="grand">
      <x/>
    </i>
  </rowItems>
  <colItems count="1">
    <i/>
  </colItems>
  <dataFields count="1">
    <dataField name=" Total Salary" fld="7" baseField="0" baseItem="0" numFmtId="3"/>
  </dataFields>
  <formats count="1">
    <format dxfId="103">
      <pivotArea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 chart="6" format="11">
      <pivotArea type="data" outline="0" fieldPosition="0">
        <references count="2">
          <reference field="4294967294" count="1" selected="0">
            <x v="0"/>
          </reference>
          <reference field="4" count="1" selected="0">
            <x v="4"/>
          </reference>
        </references>
      </pivotArea>
    </chartFormat>
    <chartFormat chart="6" format="12">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7DE5CD-ECC0-4F94-8F9F-3D2E0DF52ED5}"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Name">
  <location ref="D3:E9" firstHeaderRow="1" firstDataRow="1" firstDataCol="1"/>
  <pivotFields count="12">
    <pivotField showAll="0"/>
    <pivotField axis="axisRow" showAll="0" measureFilter="1">
      <items count="20">
        <item x="5"/>
        <item x="3"/>
        <item x="13"/>
        <item x="6"/>
        <item x="9"/>
        <item x="1"/>
        <item x="16"/>
        <item x="18"/>
        <item x="4"/>
        <item x="14"/>
        <item x="10"/>
        <item x="15"/>
        <item x="8"/>
        <item x="12"/>
        <item x="7"/>
        <item x="17"/>
        <item x="11"/>
        <item x="0"/>
        <item x="2"/>
        <item t="default"/>
      </items>
    </pivotField>
    <pivotField showAll="0"/>
    <pivotField showAll="0"/>
    <pivotField showAll="0"/>
    <pivotField showAll="0"/>
    <pivotField numFmtId="164" showAll="0"/>
    <pivotField dataField="1" numFmtId="165" showAll="0"/>
    <pivotField showAll="0"/>
    <pivotField showAll="0"/>
    <pivotField showAll="0">
      <items count="10">
        <item x="1"/>
        <item x="5"/>
        <item x="3"/>
        <item x="7"/>
        <item x="4"/>
        <item x="0"/>
        <item x="2"/>
        <item x="6"/>
        <item x="8"/>
        <item t="default"/>
      </items>
    </pivotField>
    <pivotField showAll="0"/>
  </pivotFields>
  <rowFields count="1">
    <field x="1"/>
  </rowFields>
  <rowItems count="6">
    <i>
      <x v="1"/>
    </i>
    <i>
      <x v="5"/>
    </i>
    <i>
      <x v="8"/>
    </i>
    <i>
      <x v="17"/>
    </i>
    <i>
      <x v="18"/>
    </i>
    <i t="grand">
      <x/>
    </i>
  </rowItems>
  <colItems count="1">
    <i/>
  </colItems>
  <dataFields count="1">
    <dataField name=" Total Salary" fld="7" baseField="0" baseItem="0" numFmtId="3"/>
  </dataFields>
  <formats count="1">
    <format dxfId="104">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139B0E-6E45-488B-B2FC-6D11D4977A02}"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A3:B13" firstHeaderRow="1" firstDataRow="1" firstDataCol="1"/>
  <pivotFields count="12">
    <pivotField showAll="0"/>
    <pivotField showAll="0"/>
    <pivotField showAll="0"/>
    <pivotField showAll="0"/>
    <pivotField showAll="0"/>
    <pivotField showAll="0"/>
    <pivotField numFmtId="164" showAll="0"/>
    <pivotField dataField="1" numFmtId="165" showAll="0"/>
    <pivotField showAll="0"/>
    <pivotField showAll="0"/>
    <pivotField axis="axisRow" showAll="0">
      <items count="10">
        <item x="1"/>
        <item x="5"/>
        <item x="3"/>
        <item x="7"/>
        <item x="4"/>
        <item x="0"/>
        <item x="2"/>
        <item x="6"/>
        <item x="8"/>
        <item t="default"/>
      </items>
    </pivotField>
    <pivotField showAll="0"/>
  </pivotFields>
  <rowFields count="1">
    <field x="10"/>
  </rowFields>
  <rowItems count="10">
    <i>
      <x/>
    </i>
    <i>
      <x v="1"/>
    </i>
    <i>
      <x v="2"/>
    </i>
    <i>
      <x v="3"/>
    </i>
    <i>
      <x v="4"/>
    </i>
    <i>
      <x v="5"/>
    </i>
    <i>
      <x v="6"/>
    </i>
    <i>
      <x v="7"/>
    </i>
    <i>
      <x v="8"/>
    </i>
    <i t="grand">
      <x/>
    </i>
  </rowItems>
  <colItems count="1">
    <i/>
  </colItems>
  <dataFields count="1">
    <dataField name=" Total Salary" fld="7" baseField="0" baseItem="0" numFmtId="3"/>
  </dataFields>
  <formats count="1">
    <format dxfId="10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22D3579-31E6-4829-AF34-987E294A5E49}" sourceName="City">
  <pivotTables>
    <pivotTable tabId="6" name="PivotTable1"/>
    <pivotTable tabId="6" name="PivotTable11"/>
    <pivotTable tabId="6" name="PivotTable2"/>
    <pivotTable tabId="6" name="PivotTable3"/>
    <pivotTable tabId="6" name="PivotTable4"/>
  </pivotTables>
  <data>
    <tabular pivotCacheId="308346249">
      <items count="9">
        <i x="1" s="1"/>
        <i x="5" s="1"/>
        <i x="3" s="1"/>
        <i x="7" s="1"/>
        <i x="4" s="1"/>
        <i x="0" s="1"/>
        <i x="2" s="1"/>
        <i x="6"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4BC5261-6250-484B-8115-D86755367142}" cache="Slicer_City" caption="Cit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A7C7A7-B383-40DC-8C18-07865E84F6A9}" name="Table3" displayName="Table3" ref="A1:L20" totalsRowShown="0" headerRowDxfId="121" dataDxfId="119" headerRowBorderDxfId="120" tableBorderDxfId="118" totalsRowBorderDxfId="117">
  <autoFilter ref="A1:L20" xr:uid="{D3A7C7A7-B383-40DC-8C18-07865E84F6A9}"/>
  <tableColumns count="12">
    <tableColumn id="1" xr3:uid="{254643D9-0F06-4553-953E-1BE4CE7F9305}" name="Emp ID" dataDxfId="116"/>
    <tableColumn id="2" xr3:uid="{61969289-AE35-4222-A63E-A44E990B08CB}" name="First Name" dataDxfId="115"/>
    <tableColumn id="3" xr3:uid="{C57BCBC1-06D5-49B5-918B-DAD27DB7F8F1}" name="Last Name" dataDxfId="114"/>
    <tableColumn id="4" xr3:uid="{3B6DCC56-723D-4925-9E15-3D94CB5B2732}" name="Gender" dataDxfId="113"/>
    <tableColumn id="5" xr3:uid="{09F12C3A-714F-4202-9A61-BE668372C650}" name="Department" dataDxfId="112"/>
    <tableColumn id="6" xr3:uid="{262829C5-762F-4AFA-A79F-951ACC2E34EC}" name="Designation" dataDxfId="111"/>
    <tableColumn id="7" xr3:uid="{C9D8C8A7-8418-45DA-95D1-8D7989ED34B9}" name="Joining Date" dataDxfId="110"/>
    <tableColumn id="8" xr3:uid="{2B12B02C-2922-4B32-80A4-B8A4A68C2EE5}" name="Salary" dataDxfId="109"/>
    <tableColumn id="9" xr3:uid="{AA550CBE-1FB1-4082-B77C-21A4AB98A8DE}" name="Phone" dataDxfId="108"/>
    <tableColumn id="10" xr3:uid="{6F846C29-3359-404F-9D7C-C844C76D2CB4}" name="Email" dataDxfId="107" dataCellStyle="Hyperlink"/>
    <tableColumn id="11" xr3:uid="{3664359E-F279-48A7-9ED1-07B016FA5DFD}" name="City" dataDxfId="106"/>
    <tableColumn id="12" xr3:uid="{6FF45AD7-6133-4786-B424-634A8421BE86}" name="Status" dataDxfId="10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mailto:anjali.gupta@email.com" TargetMode="External"/><Relationship Id="rId13" Type="http://schemas.openxmlformats.org/officeDocument/2006/relationships/hyperlink" Target="mailto:rakesh.singh@email.com" TargetMode="External"/><Relationship Id="rId18" Type="http://schemas.openxmlformats.org/officeDocument/2006/relationships/hyperlink" Target="mailto:priya.patel@email.com" TargetMode="External"/><Relationship Id="rId3" Type="http://schemas.openxmlformats.org/officeDocument/2006/relationships/hyperlink" Target="mailto:nikhil.das@email.com" TargetMode="External"/><Relationship Id="rId21" Type="http://schemas.openxmlformats.org/officeDocument/2006/relationships/table" Target="../tables/table1.xml"/><Relationship Id="rId7" Type="http://schemas.openxmlformats.org/officeDocument/2006/relationships/hyperlink" Target="mailto:mohit.jain@email.com" TargetMode="External"/><Relationship Id="rId12" Type="http://schemas.openxmlformats.org/officeDocument/2006/relationships/hyperlink" Target="mailto:sneha.joshi@email.com" TargetMode="External"/><Relationship Id="rId17" Type="http://schemas.openxmlformats.org/officeDocument/2006/relationships/hyperlink" Target="mailto:amit.verma@email.com" TargetMode="External"/><Relationship Id="rId2" Type="http://schemas.openxmlformats.org/officeDocument/2006/relationships/hyperlink" Target="mailto:komal.trivedi@email.com" TargetMode="External"/><Relationship Id="rId16" Type="http://schemas.openxmlformats.org/officeDocument/2006/relationships/hyperlink" Target="mailto:neha.shah@email.com" TargetMode="External"/><Relationship Id="rId20" Type="http://schemas.openxmlformats.org/officeDocument/2006/relationships/printerSettings" Target="../printerSettings/printerSettings1.bin"/><Relationship Id="rId1" Type="http://schemas.openxmlformats.org/officeDocument/2006/relationships/hyperlink" Target="mailto:deepak.mishra@email.com" TargetMode="External"/><Relationship Id="rId6" Type="http://schemas.openxmlformats.org/officeDocument/2006/relationships/hyperlink" Target="mailto:riya.kapoor@email.com" TargetMode="External"/><Relationship Id="rId11" Type="http://schemas.openxmlformats.org/officeDocument/2006/relationships/hyperlink" Target="mailto:vishal.yadav@email.com" TargetMode="External"/><Relationship Id="rId5" Type="http://schemas.openxmlformats.org/officeDocument/2006/relationships/hyperlink" Target="mailto:arjun.chauhan@email.com" TargetMode="External"/><Relationship Id="rId15" Type="http://schemas.openxmlformats.org/officeDocument/2006/relationships/hyperlink" Target="mailto:karan.mehta@email.com" TargetMode="External"/><Relationship Id="rId10" Type="http://schemas.openxmlformats.org/officeDocument/2006/relationships/hyperlink" Target="mailto:kavita.nair@email.com" TargetMode="External"/><Relationship Id="rId19" Type="http://schemas.openxmlformats.org/officeDocument/2006/relationships/hyperlink" Target="mailto:rahul.sharma@email.com" TargetMode="External"/><Relationship Id="rId4" Type="http://schemas.openxmlformats.org/officeDocument/2006/relationships/hyperlink" Target="mailto:meera.iyer@email.com" TargetMode="External"/><Relationship Id="rId9" Type="http://schemas.openxmlformats.org/officeDocument/2006/relationships/hyperlink" Target="mailto:suresh.kumar@email.com" TargetMode="External"/><Relationship Id="rId14" Type="http://schemas.openxmlformats.org/officeDocument/2006/relationships/hyperlink" Target="mailto:pooja.desai@email.com"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6B7-4EA6-423A-9CD7-B11B4843CEC1}">
  <dimension ref="A1:W43"/>
  <sheetViews>
    <sheetView zoomScale="90" zoomScaleNormal="90" workbookViewId="0">
      <selection activeCell="F1" sqref="F1"/>
    </sheetView>
  </sheetViews>
  <sheetFormatPr defaultRowHeight="15" customHeight="1" x14ac:dyDescent="0.35"/>
  <cols>
    <col min="1" max="1" width="11.36328125" bestFit="1" customWidth="1"/>
    <col min="2" max="2" width="14.36328125" bestFit="1" customWidth="1"/>
    <col min="3" max="3" width="14.08984375" bestFit="1" customWidth="1"/>
    <col min="4" max="4" width="11.54296875" bestFit="1" customWidth="1"/>
    <col min="5" max="5" width="15.6328125" bestFit="1" customWidth="1"/>
    <col min="6" max="6" width="15.26953125" bestFit="1" customWidth="1"/>
    <col min="7" max="7" width="15.54296875" style="7" bestFit="1" customWidth="1"/>
    <col min="8" max="8" width="10.36328125" style="11" bestFit="1" customWidth="1"/>
    <col min="9" max="9" width="10.81640625" bestFit="1" customWidth="1"/>
    <col min="10" max="10" width="15.1796875" bestFit="1" customWidth="1"/>
    <col min="11" max="11" width="11" bestFit="1" customWidth="1"/>
    <col min="12" max="12" width="10.6328125" bestFit="1" customWidth="1"/>
    <col min="13" max="13" width="25.08984375" customWidth="1"/>
    <col min="14" max="14" width="13" bestFit="1" customWidth="1"/>
    <col min="19" max="19" width="11.54296875" bestFit="1" customWidth="1"/>
  </cols>
  <sheetData>
    <row r="1" spans="1:23" ht="14.5" x14ac:dyDescent="0.35">
      <c r="A1" s="13" t="s">
        <v>17</v>
      </c>
      <c r="B1" s="14" t="s">
        <v>18</v>
      </c>
      <c r="C1" s="14" t="s">
        <v>19</v>
      </c>
      <c r="D1" s="14" t="s">
        <v>20</v>
      </c>
      <c r="E1" s="14" t="s">
        <v>1</v>
      </c>
      <c r="F1" s="14" t="s">
        <v>2</v>
      </c>
      <c r="G1" s="15" t="s">
        <v>21</v>
      </c>
      <c r="H1" s="16" t="s">
        <v>22</v>
      </c>
      <c r="I1" s="14" t="s">
        <v>23</v>
      </c>
      <c r="J1" s="14" t="s">
        <v>24</v>
      </c>
      <c r="K1" s="14" t="s">
        <v>0</v>
      </c>
      <c r="L1" s="17" t="s">
        <v>25</v>
      </c>
      <c r="O1" s="1"/>
    </row>
    <row r="2" spans="1:23" ht="29" x14ac:dyDescent="0.35">
      <c r="A2" s="18" t="s">
        <v>91</v>
      </c>
      <c r="B2" s="19" t="s">
        <v>26</v>
      </c>
      <c r="C2" s="19" t="s">
        <v>27</v>
      </c>
      <c r="D2" s="19" t="s">
        <v>28</v>
      </c>
      <c r="E2" s="19" t="s">
        <v>11</v>
      </c>
      <c r="F2" s="19" t="s">
        <v>12</v>
      </c>
      <c r="G2" s="20">
        <v>43429</v>
      </c>
      <c r="H2" s="21">
        <v>70000</v>
      </c>
      <c r="I2" s="19">
        <v>9876543220</v>
      </c>
      <c r="J2" s="22" t="s">
        <v>29</v>
      </c>
      <c r="K2" s="19" t="s">
        <v>6</v>
      </c>
      <c r="L2" s="23" t="s">
        <v>30</v>
      </c>
      <c r="P2" t="s">
        <v>126</v>
      </c>
      <c r="Q2" t="s">
        <v>127</v>
      </c>
      <c r="R2" t="s">
        <v>128</v>
      </c>
      <c r="S2" t="s">
        <v>129</v>
      </c>
      <c r="T2" t="s">
        <v>130</v>
      </c>
      <c r="U2" t="s">
        <v>131</v>
      </c>
      <c r="V2" t="s">
        <v>132</v>
      </c>
      <c r="W2" t="s">
        <v>133</v>
      </c>
    </row>
    <row r="3" spans="1:23" ht="29" x14ac:dyDescent="0.35">
      <c r="A3" s="18" t="s">
        <v>72</v>
      </c>
      <c r="B3" s="19" t="s">
        <v>31</v>
      </c>
      <c r="C3" s="19" t="s">
        <v>32</v>
      </c>
      <c r="D3" s="19" t="s">
        <v>33</v>
      </c>
      <c r="E3" s="19" t="s">
        <v>34</v>
      </c>
      <c r="F3" s="19" t="s">
        <v>35</v>
      </c>
      <c r="G3" s="20">
        <v>43757</v>
      </c>
      <c r="H3" s="21">
        <v>55000</v>
      </c>
      <c r="I3" s="19">
        <v>9876543219</v>
      </c>
      <c r="J3" s="22" t="s">
        <v>36</v>
      </c>
      <c r="K3" s="19" t="s">
        <v>37</v>
      </c>
      <c r="L3" s="23" t="s">
        <v>30</v>
      </c>
      <c r="P3">
        <v>65</v>
      </c>
      <c r="Q3">
        <v>80</v>
      </c>
      <c r="R3">
        <v>35</v>
      </c>
      <c r="S3">
        <f>SUM(P3:R3)</f>
        <v>180</v>
      </c>
      <c r="T3">
        <f>MAX(P3:R3)</f>
        <v>80</v>
      </c>
      <c r="U3">
        <f>MIN(P3:R3)</f>
        <v>35</v>
      </c>
      <c r="V3">
        <f>AVERAGE(P3:R3)</f>
        <v>60</v>
      </c>
      <c r="W3">
        <f>COUNT(P3:R3)</f>
        <v>3</v>
      </c>
    </row>
    <row r="4" spans="1:23" ht="29" x14ac:dyDescent="0.35">
      <c r="A4" s="18" t="s">
        <v>38</v>
      </c>
      <c r="B4" s="19" t="s">
        <v>39</v>
      </c>
      <c r="C4" s="19" t="s">
        <v>40</v>
      </c>
      <c r="D4" s="19" t="s">
        <v>28</v>
      </c>
      <c r="E4" s="19" t="s">
        <v>7</v>
      </c>
      <c r="F4" s="19" t="s">
        <v>14</v>
      </c>
      <c r="G4" s="20">
        <v>44085</v>
      </c>
      <c r="H4" s="21">
        <v>60000</v>
      </c>
      <c r="I4" s="19">
        <v>9876543218</v>
      </c>
      <c r="J4" s="22" t="s">
        <v>41</v>
      </c>
      <c r="K4" s="19" t="s">
        <v>13</v>
      </c>
      <c r="L4" s="23" t="s">
        <v>30</v>
      </c>
      <c r="P4">
        <v>56</v>
      </c>
      <c r="Q4">
        <v>76</v>
      </c>
      <c r="R4">
        <v>94</v>
      </c>
      <c r="S4">
        <f t="shared" ref="S4:S8" si="0">SUM(P4:R4)</f>
        <v>226</v>
      </c>
      <c r="T4">
        <f t="shared" ref="T4:T8" si="1">MAX(P4:R4)</f>
        <v>94</v>
      </c>
      <c r="U4">
        <f t="shared" ref="U4:U8" si="2">MIN(P4:R4)</f>
        <v>56</v>
      </c>
      <c r="V4">
        <f t="shared" ref="V4:V8" si="3">AVERAGE(P4:R4)</f>
        <v>75.333333333333329</v>
      </c>
      <c r="W4">
        <f t="shared" ref="W4:W8" si="4">COUNT(P4:R4)</f>
        <v>3</v>
      </c>
    </row>
    <row r="5" spans="1:23" ht="29" x14ac:dyDescent="0.35">
      <c r="A5" s="18" t="s">
        <v>42</v>
      </c>
      <c r="B5" s="19" t="s">
        <v>43</v>
      </c>
      <c r="C5" s="19" t="s">
        <v>44</v>
      </c>
      <c r="D5" s="19" t="s">
        <v>33</v>
      </c>
      <c r="E5" s="19" t="s">
        <v>45</v>
      </c>
      <c r="F5" s="19" t="s">
        <v>46</v>
      </c>
      <c r="G5" s="20">
        <v>44179</v>
      </c>
      <c r="H5" s="21">
        <v>65000</v>
      </c>
      <c r="I5" s="19">
        <v>9876543221</v>
      </c>
      <c r="J5" s="22" t="s">
        <v>47</v>
      </c>
      <c r="K5" s="19" t="s">
        <v>48</v>
      </c>
      <c r="L5" s="23" t="s">
        <v>30</v>
      </c>
      <c r="P5">
        <v>77</v>
      </c>
      <c r="Q5">
        <v>56</v>
      </c>
      <c r="R5">
        <v>36</v>
      </c>
      <c r="S5">
        <f t="shared" si="0"/>
        <v>169</v>
      </c>
      <c r="T5">
        <f t="shared" si="1"/>
        <v>77</v>
      </c>
      <c r="U5">
        <f t="shared" si="2"/>
        <v>36</v>
      </c>
      <c r="V5">
        <f t="shared" si="3"/>
        <v>56.333333333333336</v>
      </c>
      <c r="W5">
        <f t="shared" si="4"/>
        <v>3</v>
      </c>
    </row>
    <row r="6" spans="1:23" ht="29" x14ac:dyDescent="0.35">
      <c r="A6" s="18" t="s">
        <v>49</v>
      </c>
      <c r="B6" s="19" t="s">
        <v>50</v>
      </c>
      <c r="C6" s="19" t="s">
        <v>51</v>
      </c>
      <c r="D6" s="19" t="s">
        <v>28</v>
      </c>
      <c r="E6" s="19" t="s">
        <v>52</v>
      </c>
      <c r="F6" s="19" t="s">
        <v>53</v>
      </c>
      <c r="G6" s="20">
        <v>44205</v>
      </c>
      <c r="H6" s="21">
        <v>62000</v>
      </c>
      <c r="I6" s="19">
        <v>9876543222</v>
      </c>
      <c r="J6" s="22" t="s">
        <v>54</v>
      </c>
      <c r="K6" s="19" t="s">
        <v>55</v>
      </c>
      <c r="L6" s="23" t="s">
        <v>30</v>
      </c>
      <c r="M6" s="12"/>
      <c r="P6">
        <v>75</v>
      </c>
      <c r="Q6">
        <v>60</v>
      </c>
      <c r="R6">
        <v>77</v>
      </c>
      <c r="S6">
        <f t="shared" si="0"/>
        <v>212</v>
      </c>
      <c r="T6">
        <f t="shared" si="1"/>
        <v>77</v>
      </c>
      <c r="U6">
        <f t="shared" si="2"/>
        <v>60</v>
      </c>
      <c r="V6">
        <f t="shared" si="3"/>
        <v>70.666666666666671</v>
      </c>
      <c r="W6">
        <f t="shared" si="4"/>
        <v>3</v>
      </c>
    </row>
    <row r="7" spans="1:23" ht="29" x14ac:dyDescent="0.35">
      <c r="A7" s="18" t="s">
        <v>56</v>
      </c>
      <c r="B7" s="19" t="s">
        <v>57</v>
      </c>
      <c r="C7" s="19" t="s">
        <v>58</v>
      </c>
      <c r="D7" s="19" t="s">
        <v>28</v>
      </c>
      <c r="E7" s="19" t="s">
        <v>34</v>
      </c>
      <c r="F7" s="19" t="s">
        <v>59</v>
      </c>
      <c r="G7" s="20">
        <v>44275</v>
      </c>
      <c r="H7" s="21">
        <v>42000</v>
      </c>
      <c r="I7" s="19">
        <v>9876543212</v>
      </c>
      <c r="J7" s="22" t="s">
        <v>60</v>
      </c>
      <c r="K7" s="19" t="s">
        <v>55</v>
      </c>
      <c r="L7" s="23" t="s">
        <v>30</v>
      </c>
      <c r="P7">
        <v>57</v>
      </c>
      <c r="Q7">
        <v>16</v>
      </c>
      <c r="R7">
        <v>21</v>
      </c>
      <c r="S7">
        <f t="shared" si="0"/>
        <v>94</v>
      </c>
      <c r="T7">
        <f t="shared" si="1"/>
        <v>57</v>
      </c>
      <c r="U7">
        <f t="shared" si="2"/>
        <v>16</v>
      </c>
      <c r="V7">
        <f t="shared" si="3"/>
        <v>31.333333333333332</v>
      </c>
      <c r="W7">
        <f t="shared" si="4"/>
        <v>3</v>
      </c>
    </row>
    <row r="8" spans="1:23" ht="29" x14ac:dyDescent="0.35">
      <c r="A8" s="18" t="s">
        <v>61</v>
      </c>
      <c r="B8" s="19" t="s">
        <v>62</v>
      </c>
      <c r="C8" s="19" t="s">
        <v>63</v>
      </c>
      <c r="D8" s="19" t="s">
        <v>28</v>
      </c>
      <c r="E8" s="19" t="s">
        <v>34</v>
      </c>
      <c r="F8" s="19" t="s">
        <v>64</v>
      </c>
      <c r="G8" s="20">
        <v>44380</v>
      </c>
      <c r="H8" s="21">
        <v>46000</v>
      </c>
      <c r="I8" s="19">
        <v>9876543228</v>
      </c>
      <c r="J8" s="22" t="s">
        <v>65</v>
      </c>
      <c r="K8" s="19" t="s">
        <v>37</v>
      </c>
      <c r="L8" s="23" t="s">
        <v>30</v>
      </c>
      <c r="P8">
        <v>57</v>
      </c>
      <c r="Q8">
        <v>34</v>
      </c>
      <c r="R8">
        <v>98</v>
      </c>
      <c r="S8">
        <f t="shared" si="0"/>
        <v>189</v>
      </c>
      <c r="T8">
        <f t="shared" si="1"/>
        <v>98</v>
      </c>
      <c r="U8">
        <f t="shared" si="2"/>
        <v>34</v>
      </c>
      <c r="V8">
        <f t="shared" si="3"/>
        <v>63</v>
      </c>
      <c r="W8">
        <f t="shared" si="4"/>
        <v>3</v>
      </c>
    </row>
    <row r="9" spans="1:23" ht="29" x14ac:dyDescent="0.35">
      <c r="A9" s="18" t="s">
        <v>66</v>
      </c>
      <c r="B9" s="19" t="s">
        <v>67</v>
      </c>
      <c r="C9" s="19" t="s">
        <v>68</v>
      </c>
      <c r="D9" s="19" t="s">
        <v>28</v>
      </c>
      <c r="E9" s="19" t="s">
        <v>69</v>
      </c>
      <c r="F9" s="19" t="s">
        <v>70</v>
      </c>
      <c r="G9" s="20">
        <v>44399</v>
      </c>
      <c r="H9" s="21">
        <v>40000</v>
      </c>
      <c r="I9" s="19">
        <v>9876543216</v>
      </c>
      <c r="J9" s="22" t="s">
        <v>71</v>
      </c>
      <c r="K9" s="19" t="s">
        <v>125</v>
      </c>
      <c r="L9" s="23" t="s">
        <v>30</v>
      </c>
    </row>
    <row r="10" spans="1:23" ht="29" x14ac:dyDescent="0.35">
      <c r="A10" s="18" t="s">
        <v>72</v>
      </c>
      <c r="B10" s="19" t="s">
        <v>73</v>
      </c>
      <c r="C10" s="19" t="s">
        <v>74</v>
      </c>
      <c r="D10" s="19" t="s">
        <v>33</v>
      </c>
      <c r="E10" s="19" t="s">
        <v>45</v>
      </c>
      <c r="F10" s="19" t="s">
        <v>75</v>
      </c>
      <c r="G10" s="20">
        <v>44607</v>
      </c>
      <c r="H10" s="21">
        <v>38000</v>
      </c>
      <c r="I10" s="19">
        <v>9876543211</v>
      </c>
      <c r="J10" s="22" t="s">
        <v>76</v>
      </c>
      <c r="K10" s="19" t="s">
        <v>48</v>
      </c>
      <c r="L10" s="23" t="s">
        <v>30</v>
      </c>
    </row>
    <row r="11" spans="1:23" ht="29" x14ac:dyDescent="0.35">
      <c r="A11" s="18" t="s">
        <v>77</v>
      </c>
      <c r="B11" s="19" t="s">
        <v>78</v>
      </c>
      <c r="C11" s="19" t="s">
        <v>79</v>
      </c>
      <c r="D11" s="19" t="s">
        <v>28</v>
      </c>
      <c r="E11" s="19" t="s">
        <v>7</v>
      </c>
      <c r="F11" s="19" t="s">
        <v>16</v>
      </c>
      <c r="G11" s="20">
        <v>44682</v>
      </c>
      <c r="H11" s="21">
        <v>48000</v>
      </c>
      <c r="I11" s="19">
        <v>9876543214</v>
      </c>
      <c r="J11" s="22" t="s">
        <v>80</v>
      </c>
      <c r="K11" s="19" t="s">
        <v>15</v>
      </c>
      <c r="L11" s="23" t="s">
        <v>30</v>
      </c>
    </row>
    <row r="12" spans="1:23" ht="29" x14ac:dyDescent="0.35">
      <c r="A12" s="18" t="s">
        <v>81</v>
      </c>
      <c r="B12" s="19" t="s">
        <v>82</v>
      </c>
      <c r="C12" s="19" t="s">
        <v>83</v>
      </c>
      <c r="D12" s="19" t="s">
        <v>28</v>
      </c>
      <c r="E12" s="19" t="s">
        <v>7</v>
      </c>
      <c r="F12" s="19" t="s">
        <v>8</v>
      </c>
      <c r="G12" s="20">
        <v>44697</v>
      </c>
      <c r="H12" s="21">
        <v>52000</v>
      </c>
      <c r="I12" s="19">
        <v>9876543226</v>
      </c>
      <c r="J12" s="22" t="s">
        <v>84</v>
      </c>
      <c r="K12" s="19" t="s">
        <v>6</v>
      </c>
      <c r="L12" s="23" t="s">
        <v>30</v>
      </c>
    </row>
    <row r="13" spans="1:23" ht="29" x14ac:dyDescent="0.35">
      <c r="A13" s="18" t="s">
        <v>85</v>
      </c>
      <c r="B13" s="19" t="s">
        <v>86</v>
      </c>
      <c r="C13" s="19" t="s">
        <v>87</v>
      </c>
      <c r="D13" s="19" t="s">
        <v>33</v>
      </c>
      <c r="E13" s="19" t="s">
        <v>88</v>
      </c>
      <c r="F13" s="19" t="s">
        <v>89</v>
      </c>
      <c r="G13" s="20">
        <v>44781</v>
      </c>
      <c r="H13" s="21">
        <v>33000</v>
      </c>
      <c r="I13" s="19">
        <v>9876543217</v>
      </c>
      <c r="J13" s="22" t="s">
        <v>90</v>
      </c>
      <c r="K13" s="19" t="s">
        <v>6</v>
      </c>
      <c r="L13" s="23" t="s">
        <v>30</v>
      </c>
    </row>
    <row r="14" spans="1:23" ht="29" x14ac:dyDescent="0.35">
      <c r="A14" s="18" t="s">
        <v>91</v>
      </c>
      <c r="B14" s="19" t="s">
        <v>92</v>
      </c>
      <c r="C14" s="19" t="s">
        <v>93</v>
      </c>
      <c r="D14" s="19" t="s">
        <v>28</v>
      </c>
      <c r="E14" s="19" t="s">
        <v>7</v>
      </c>
      <c r="F14" s="19" t="s">
        <v>9</v>
      </c>
      <c r="G14" s="20">
        <v>44936</v>
      </c>
      <c r="H14" s="21">
        <v>45000</v>
      </c>
      <c r="I14" s="19">
        <v>9876543210</v>
      </c>
      <c r="J14" s="22" t="s">
        <v>94</v>
      </c>
      <c r="K14" s="19" t="s">
        <v>6</v>
      </c>
      <c r="L14" s="23" t="s">
        <v>30</v>
      </c>
    </row>
    <row r="15" spans="1:23" ht="29" x14ac:dyDescent="0.35">
      <c r="A15" s="18" t="s">
        <v>95</v>
      </c>
      <c r="B15" s="19" t="s">
        <v>96</v>
      </c>
      <c r="C15" s="19" t="s">
        <v>97</v>
      </c>
      <c r="D15" s="19" t="s">
        <v>28</v>
      </c>
      <c r="E15" s="19" t="s">
        <v>98</v>
      </c>
      <c r="F15" s="19" t="s">
        <v>99</v>
      </c>
      <c r="G15" s="20">
        <v>44990</v>
      </c>
      <c r="H15" s="21">
        <v>36000</v>
      </c>
      <c r="I15" s="19">
        <v>9876543224</v>
      </c>
      <c r="J15" s="22" t="s">
        <v>100</v>
      </c>
      <c r="K15" s="19" t="s">
        <v>3</v>
      </c>
      <c r="L15" s="23" t="s">
        <v>30</v>
      </c>
    </row>
    <row r="16" spans="1:23" ht="29" x14ac:dyDescent="0.35">
      <c r="A16" s="18" t="s">
        <v>101</v>
      </c>
      <c r="B16" s="19" t="s">
        <v>102</v>
      </c>
      <c r="C16" s="19" t="s">
        <v>103</v>
      </c>
      <c r="D16" s="19" t="s">
        <v>33</v>
      </c>
      <c r="E16" s="19" t="s">
        <v>52</v>
      </c>
      <c r="F16" s="19" t="s">
        <v>104</v>
      </c>
      <c r="G16" s="20">
        <v>45028</v>
      </c>
      <c r="H16" s="21">
        <v>35000</v>
      </c>
      <c r="I16" s="19">
        <v>9876543213</v>
      </c>
      <c r="J16" s="22" t="s">
        <v>105</v>
      </c>
      <c r="K16" s="19" t="s">
        <v>6</v>
      </c>
      <c r="L16" s="23" t="s">
        <v>30</v>
      </c>
    </row>
    <row r="17" spans="1:12" ht="29" x14ac:dyDescent="0.35">
      <c r="A17" s="18" t="s">
        <v>106</v>
      </c>
      <c r="B17" s="19" t="s">
        <v>107</v>
      </c>
      <c r="C17" s="19" t="s">
        <v>108</v>
      </c>
      <c r="D17" s="19" t="s">
        <v>33</v>
      </c>
      <c r="E17" s="19" t="s">
        <v>4</v>
      </c>
      <c r="F17" s="19" t="s">
        <v>5</v>
      </c>
      <c r="G17" s="20">
        <v>45095</v>
      </c>
      <c r="H17" s="21">
        <v>37000</v>
      </c>
      <c r="I17" s="19">
        <v>9876543215</v>
      </c>
      <c r="J17" s="22" t="s">
        <v>109</v>
      </c>
      <c r="K17" s="19" t="s">
        <v>3</v>
      </c>
      <c r="L17" s="23" t="s">
        <v>30</v>
      </c>
    </row>
    <row r="18" spans="1:12" ht="29" x14ac:dyDescent="0.35">
      <c r="A18" s="18" t="s">
        <v>110</v>
      </c>
      <c r="B18" s="19" t="s">
        <v>111</v>
      </c>
      <c r="C18" s="19" t="s">
        <v>112</v>
      </c>
      <c r="D18" s="19" t="s">
        <v>33</v>
      </c>
      <c r="E18" s="19" t="s">
        <v>88</v>
      </c>
      <c r="F18" s="19" t="s">
        <v>113</v>
      </c>
      <c r="G18" s="20">
        <v>45104</v>
      </c>
      <c r="H18" s="21">
        <v>30000</v>
      </c>
      <c r="I18" s="19">
        <v>9876543227</v>
      </c>
      <c r="J18" s="22" t="s">
        <v>114</v>
      </c>
      <c r="K18" s="19" t="s">
        <v>48</v>
      </c>
      <c r="L18" s="23" t="s">
        <v>30</v>
      </c>
    </row>
    <row r="19" spans="1:12" ht="29" x14ac:dyDescent="0.35">
      <c r="A19" s="18" t="s">
        <v>115</v>
      </c>
      <c r="B19" s="19" t="s">
        <v>116</v>
      </c>
      <c r="C19" s="19" t="s">
        <v>117</v>
      </c>
      <c r="D19" s="19" t="s">
        <v>33</v>
      </c>
      <c r="E19" s="19" t="s">
        <v>7</v>
      </c>
      <c r="F19" s="19" t="s">
        <v>10</v>
      </c>
      <c r="G19" s="20">
        <v>45339</v>
      </c>
      <c r="H19" s="21">
        <v>40000</v>
      </c>
      <c r="I19" s="19">
        <v>9876543223</v>
      </c>
      <c r="J19" s="22" t="s">
        <v>118</v>
      </c>
      <c r="K19" s="19" t="s">
        <v>6</v>
      </c>
      <c r="L19" s="23" t="s">
        <v>30</v>
      </c>
    </row>
    <row r="20" spans="1:12" ht="29" x14ac:dyDescent="0.35">
      <c r="A20" s="24" t="s">
        <v>119</v>
      </c>
      <c r="B20" s="25" t="s">
        <v>120</v>
      </c>
      <c r="C20" s="25" t="s">
        <v>121</v>
      </c>
      <c r="D20" s="25" t="s">
        <v>33</v>
      </c>
      <c r="E20" s="25" t="s">
        <v>4</v>
      </c>
      <c r="F20" s="25" t="s">
        <v>122</v>
      </c>
      <c r="G20" s="26">
        <v>45403</v>
      </c>
      <c r="H20" s="27">
        <v>39000</v>
      </c>
      <c r="I20" s="25">
        <v>9876543225</v>
      </c>
      <c r="J20" s="28" t="s">
        <v>123</v>
      </c>
      <c r="K20" s="25" t="s">
        <v>124</v>
      </c>
      <c r="L20" s="29" t="s">
        <v>30</v>
      </c>
    </row>
    <row r="21" spans="1:12" ht="14.5" x14ac:dyDescent="0.35">
      <c r="A21" s="2"/>
      <c r="C21" s="2"/>
      <c r="D21" s="2"/>
      <c r="E21" s="2"/>
      <c r="F21" s="2"/>
      <c r="G21" s="6"/>
      <c r="H21" s="10"/>
      <c r="I21" s="2"/>
      <c r="J21" s="3"/>
      <c r="K21" s="2"/>
      <c r="L21" s="2"/>
    </row>
    <row r="22" spans="1:12" ht="15" customHeight="1" x14ac:dyDescent="0.35">
      <c r="A22" s="1"/>
      <c r="B22" s="9"/>
    </row>
    <row r="23" spans="1:12" ht="15" customHeight="1" x14ac:dyDescent="0.35">
      <c r="A23" s="2"/>
      <c r="B23" s="1"/>
      <c r="C23" s="1"/>
    </row>
    <row r="24" spans="1:12" ht="14.5" x14ac:dyDescent="0.35">
      <c r="A24" s="2"/>
      <c r="B24" s="2"/>
      <c r="C24" s="1"/>
      <c r="D24" s="1"/>
      <c r="E24" s="1"/>
      <c r="F24" s="1"/>
      <c r="G24" s="5"/>
      <c r="H24" s="9"/>
      <c r="I24" s="1"/>
      <c r="J24" s="1"/>
      <c r="K24" s="1"/>
      <c r="L24" s="1"/>
    </row>
    <row r="25" spans="1:12" ht="14.5" x14ac:dyDescent="0.35">
      <c r="A25" s="2"/>
      <c r="B25" s="2"/>
      <c r="C25" s="2"/>
      <c r="D25" s="2"/>
      <c r="E25" s="2"/>
      <c r="F25" s="2"/>
      <c r="G25" s="6"/>
      <c r="H25" s="10"/>
      <c r="I25" s="2"/>
      <c r="J25" s="3"/>
      <c r="K25" s="2"/>
      <c r="L25" s="2"/>
    </row>
    <row r="26" spans="1:12" ht="14.5" x14ac:dyDescent="0.35">
      <c r="A26" s="2"/>
      <c r="B26" s="4"/>
      <c r="C26" s="4"/>
      <c r="I26" s="4"/>
      <c r="J26" s="4"/>
      <c r="K26" s="4"/>
    </row>
    <row r="27" spans="1:12" ht="14.5" x14ac:dyDescent="0.35">
      <c r="A27" s="2"/>
      <c r="B27" s="4"/>
      <c r="C27" s="4"/>
      <c r="I27" s="4"/>
      <c r="J27" s="4"/>
      <c r="K27" s="4"/>
    </row>
    <row r="28" spans="1:12" ht="14.5" x14ac:dyDescent="0.35">
      <c r="A28" s="2"/>
      <c r="B28" s="4"/>
      <c r="C28" s="4"/>
      <c r="I28" s="4"/>
      <c r="J28" s="4"/>
      <c r="K28" s="4"/>
    </row>
    <row r="29" spans="1:12" ht="14.5" x14ac:dyDescent="0.35">
      <c r="A29" s="2"/>
      <c r="B29" s="4"/>
      <c r="C29" s="4"/>
      <c r="I29" s="4"/>
      <c r="J29" s="4"/>
      <c r="K29" s="4"/>
    </row>
    <row r="30" spans="1:12" ht="14.5" x14ac:dyDescent="0.35">
      <c r="A30" s="2"/>
      <c r="B30" s="4"/>
      <c r="C30" s="4"/>
      <c r="I30" s="4"/>
      <c r="J30" s="4"/>
      <c r="K30" s="4"/>
    </row>
    <row r="31" spans="1:12" ht="14.5" x14ac:dyDescent="0.35">
      <c r="A31" s="2"/>
      <c r="B31" s="4"/>
      <c r="C31" s="4"/>
      <c r="I31" s="4"/>
      <c r="J31" s="4"/>
      <c r="K31" s="4"/>
    </row>
    <row r="32" spans="1:12" ht="14.5" x14ac:dyDescent="0.35">
      <c r="A32" s="2"/>
      <c r="B32" s="4"/>
      <c r="C32" s="4"/>
      <c r="I32" s="4"/>
      <c r="J32" s="4"/>
      <c r="K32" s="4"/>
    </row>
    <row r="33" spans="1:11" ht="14.5" x14ac:dyDescent="0.35">
      <c r="A33" s="2"/>
      <c r="B33" s="4"/>
      <c r="C33" s="4"/>
      <c r="I33" s="4"/>
      <c r="J33" s="4"/>
      <c r="K33" s="4"/>
    </row>
    <row r="34" spans="1:11" ht="14.5" x14ac:dyDescent="0.35">
      <c r="A34" s="2"/>
      <c r="B34" s="4"/>
      <c r="C34" s="4"/>
      <c r="I34" s="4"/>
      <c r="J34" s="4"/>
      <c r="K34" s="4"/>
    </row>
    <row r="35" spans="1:11" ht="14.5" x14ac:dyDescent="0.35">
      <c r="A35" s="2"/>
      <c r="B35" s="4"/>
      <c r="C35" s="4"/>
      <c r="I35" s="4"/>
      <c r="J35" s="4"/>
      <c r="K35" s="4"/>
    </row>
    <row r="36" spans="1:11" ht="14.5" x14ac:dyDescent="0.35">
      <c r="A36" s="2"/>
      <c r="B36" s="4"/>
      <c r="C36" s="4"/>
      <c r="I36" s="4"/>
      <c r="J36" s="4"/>
      <c r="K36" s="4"/>
    </row>
    <row r="37" spans="1:11" ht="14.5" x14ac:dyDescent="0.35">
      <c r="A37" s="2"/>
      <c r="B37" s="4"/>
      <c r="C37" s="4"/>
      <c r="I37" s="4"/>
      <c r="J37" s="4"/>
      <c r="K37" s="4"/>
    </row>
    <row r="38" spans="1:11" ht="14.5" x14ac:dyDescent="0.35">
      <c r="A38" s="2"/>
      <c r="B38" s="4"/>
      <c r="C38" s="4"/>
      <c r="I38" s="4"/>
      <c r="J38" s="4"/>
      <c r="K38" s="4"/>
    </row>
    <row r="39" spans="1:11" ht="14.5" x14ac:dyDescent="0.35">
      <c r="A39" s="2"/>
      <c r="B39" s="4"/>
      <c r="C39" s="4"/>
      <c r="I39" s="4"/>
      <c r="J39" s="4"/>
      <c r="K39" s="4"/>
    </row>
    <row r="40" spans="1:11" ht="14.5" x14ac:dyDescent="0.35">
      <c r="A40" s="2"/>
      <c r="B40" s="4"/>
      <c r="C40" s="4"/>
      <c r="I40" s="4"/>
      <c r="J40" s="4"/>
      <c r="K40" s="4"/>
    </row>
    <row r="41" spans="1:11" ht="14.5" x14ac:dyDescent="0.35">
      <c r="A41" s="2"/>
      <c r="B41" s="4"/>
      <c r="C41" s="4"/>
      <c r="D41" s="4"/>
      <c r="E41" s="4"/>
      <c r="F41" s="4"/>
      <c r="G41" s="8"/>
      <c r="I41" s="4"/>
      <c r="J41" s="4"/>
      <c r="K41" s="4"/>
    </row>
    <row r="42" spans="1:11" ht="14.5" x14ac:dyDescent="0.35">
      <c r="A42" s="2"/>
      <c r="B42" s="4"/>
      <c r="C42" s="4"/>
      <c r="D42" s="4"/>
      <c r="E42" s="4"/>
      <c r="F42" s="4"/>
      <c r="G42" s="8"/>
      <c r="I42" s="4"/>
      <c r="J42" s="4"/>
      <c r="K42" s="4"/>
    </row>
    <row r="43" spans="1:11" ht="14.5" x14ac:dyDescent="0.35">
      <c r="A43" s="2"/>
      <c r="B43" s="4"/>
      <c r="C43" s="4"/>
      <c r="D43" s="4"/>
      <c r="E43" s="4"/>
      <c r="F43" s="4"/>
      <c r="G43" s="8"/>
      <c r="I43" s="4"/>
      <c r="J43" s="4"/>
      <c r="K43" s="4"/>
    </row>
  </sheetData>
  <sortState xmlns:xlrd2="http://schemas.microsoft.com/office/spreadsheetml/2017/richdata2" ref="A2:M20">
    <sortCondition ref="M2:M20"/>
  </sortState>
  <phoneticPr fontId="3" type="noConversion"/>
  <hyperlinks>
    <hyperlink ref="J8" r:id="rId1" display="mailto:deepak.mishra@email.com" xr:uid="{39730996-1F54-4F01-AE53-5AA6AF8F23A8}"/>
    <hyperlink ref="J18" r:id="rId2" display="mailto:komal.trivedi@email.com" xr:uid="{E38D254F-9E45-4D2E-9961-AAD1DA8D4908}"/>
    <hyperlink ref="J12" r:id="rId3" display="mailto:nikhil.das@email.com" xr:uid="{6FF42DDA-6CBD-43A7-8604-4FEE7DD44B6A}"/>
    <hyperlink ref="J20" r:id="rId4" display="mailto:meera.iyer@email.com" xr:uid="{DB4630B9-B541-4EBB-BFB6-B23B823DE68A}"/>
    <hyperlink ref="J15" r:id="rId5" display="mailto:arjun.chauhan@email.com" xr:uid="{893C9342-BADF-4724-91E3-F690573EEA5C}"/>
    <hyperlink ref="J19" r:id="rId6" display="mailto:riya.kapoor@email.com" xr:uid="{D400FD22-745C-4665-B1B4-5927E4EFAB01}"/>
    <hyperlink ref="J6" r:id="rId7" display="mailto:mohit.jain@email.com" xr:uid="{E77D5638-0403-43FA-A658-322A6FF09D7A}"/>
    <hyperlink ref="J5" r:id="rId8" display="mailto:anjali.gupta@email.com" xr:uid="{DED644A5-ECED-497F-9089-B61A5A1B3EC2}"/>
    <hyperlink ref="J2" r:id="rId9" display="mailto:suresh.kumar@email.com" xr:uid="{4483F3C9-6E65-40CD-8ABA-2C696E523EDC}"/>
    <hyperlink ref="J3" r:id="rId10" display="mailto:kavita.nair@email.com" xr:uid="{9A51770D-7558-4361-A5D3-35D8364A1E95}"/>
    <hyperlink ref="J4" r:id="rId11" display="mailto:vishal.yadav@email.com" xr:uid="{235425CD-A218-4E81-A962-587B274D04FC}"/>
    <hyperlink ref="J13" r:id="rId12" display="mailto:sneha.joshi@email.com" xr:uid="{102A25EA-DEFF-4711-A49A-0CC8ACB939E2}"/>
    <hyperlink ref="J9" r:id="rId13" display="mailto:rakesh.singh@email.com" xr:uid="{5509BA8C-200C-45B4-8717-318729EE3C40}"/>
    <hyperlink ref="J17" r:id="rId14" display="mailto:pooja.desai@email.com" xr:uid="{FD92E0D6-9416-446F-A098-4F071B5B40F6}"/>
    <hyperlink ref="J11" r:id="rId15" display="mailto:karan.mehta@email.com" xr:uid="{25B142C8-0AA0-4352-8A83-7A8E6FDFED87}"/>
    <hyperlink ref="J16" r:id="rId16" display="mailto:neha.shah@email.com" xr:uid="{DE1D59EA-0AFD-4D1C-B741-7344440F4B48}"/>
    <hyperlink ref="J7" r:id="rId17" display="mailto:amit.verma@email.com" xr:uid="{54E82781-9FFA-4007-8150-D92D81DBDB0E}"/>
    <hyperlink ref="J10" r:id="rId18" display="mailto:priya.patel@email.com" xr:uid="{0D31B212-9ABC-4775-A216-E3A042FA128E}"/>
    <hyperlink ref="J14" r:id="rId19" display="mailto:rahul.sharma@email.com" xr:uid="{AF30EC78-079F-4B2C-8869-A927E8236781}"/>
  </hyperlinks>
  <pageMargins left="0.7" right="0.7" top="0.75" bottom="0.75" header="0.3" footer="0.3"/>
  <pageSetup orientation="portrait" r:id="rId20"/>
  <tableParts count="1">
    <tablePart r:id="rId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46341-51BE-4E60-9631-C2BD26BA893A}">
  <dimension ref="A3:N13"/>
  <sheetViews>
    <sheetView workbookViewId="0">
      <selection activeCell="K18" sqref="K18"/>
    </sheetView>
  </sheetViews>
  <sheetFormatPr defaultRowHeight="14.5" x14ac:dyDescent="0.35"/>
  <cols>
    <col min="1" max="2" width="11" bestFit="1" customWidth="1"/>
    <col min="4" max="4" width="10.7265625" bestFit="1" customWidth="1"/>
    <col min="5" max="5" width="11" bestFit="1" customWidth="1"/>
    <col min="7" max="7" width="13.36328125" bestFit="1" customWidth="1"/>
    <col min="8" max="8" width="11" bestFit="1" customWidth="1"/>
    <col min="10" max="10" width="20.81640625" bestFit="1" customWidth="1"/>
    <col min="11" max="11" width="11" bestFit="1" customWidth="1"/>
    <col min="13" max="13" width="10.7265625" bestFit="1" customWidth="1"/>
    <col min="14" max="14" width="13.90625" bestFit="1" customWidth="1"/>
  </cols>
  <sheetData>
    <row r="3" spans="1:14" x14ac:dyDescent="0.35">
      <c r="A3" s="30" t="s">
        <v>0</v>
      </c>
      <c r="B3" t="s">
        <v>135</v>
      </c>
      <c r="D3" s="30" t="s">
        <v>136</v>
      </c>
      <c r="E3" t="s">
        <v>135</v>
      </c>
      <c r="G3" s="30" t="s">
        <v>1</v>
      </c>
      <c r="H3" t="s">
        <v>135</v>
      </c>
      <c r="J3" s="30" t="s">
        <v>2</v>
      </c>
      <c r="K3" t="s">
        <v>135</v>
      </c>
      <c r="M3" s="30" t="s">
        <v>20</v>
      </c>
      <c r="N3" t="s">
        <v>137</v>
      </c>
    </row>
    <row r="4" spans="1:14" x14ac:dyDescent="0.35">
      <c r="A4" s="31" t="s">
        <v>37</v>
      </c>
      <c r="B4" s="32">
        <v>101000</v>
      </c>
      <c r="D4" s="31" t="s">
        <v>43</v>
      </c>
      <c r="E4" s="32">
        <v>65000</v>
      </c>
      <c r="G4" s="31" t="s">
        <v>34</v>
      </c>
      <c r="H4" s="32">
        <v>143000</v>
      </c>
      <c r="J4" s="31" t="s">
        <v>14</v>
      </c>
      <c r="K4" s="32">
        <v>60000</v>
      </c>
      <c r="M4" s="31" t="s">
        <v>33</v>
      </c>
      <c r="N4" s="32">
        <v>9</v>
      </c>
    </row>
    <row r="5" spans="1:14" x14ac:dyDescent="0.35">
      <c r="A5" s="31" t="s">
        <v>125</v>
      </c>
      <c r="B5" s="32">
        <v>40000</v>
      </c>
      <c r="D5" s="31" t="s">
        <v>31</v>
      </c>
      <c r="E5" s="32">
        <v>55000</v>
      </c>
      <c r="G5" s="31" t="s">
        <v>45</v>
      </c>
      <c r="H5" s="32">
        <v>103000</v>
      </c>
      <c r="J5" s="31" t="s">
        <v>46</v>
      </c>
      <c r="K5" s="32">
        <v>65000</v>
      </c>
      <c r="M5" s="31" t="s">
        <v>28</v>
      </c>
      <c r="N5" s="32">
        <v>10</v>
      </c>
    </row>
    <row r="6" spans="1:14" x14ac:dyDescent="0.35">
      <c r="A6" s="31" t="s">
        <v>48</v>
      </c>
      <c r="B6" s="32">
        <v>133000</v>
      </c>
      <c r="D6" s="31" t="s">
        <v>50</v>
      </c>
      <c r="E6" s="32">
        <v>62000</v>
      </c>
      <c r="G6" s="31" t="s">
        <v>7</v>
      </c>
      <c r="H6" s="32">
        <v>245000</v>
      </c>
      <c r="J6" s="31" t="s">
        <v>12</v>
      </c>
      <c r="K6" s="32">
        <v>70000</v>
      </c>
      <c r="M6" s="31" t="s">
        <v>134</v>
      </c>
      <c r="N6" s="32">
        <v>19</v>
      </c>
    </row>
    <row r="7" spans="1:14" x14ac:dyDescent="0.35">
      <c r="A7" s="31" t="s">
        <v>3</v>
      </c>
      <c r="B7" s="32">
        <v>73000</v>
      </c>
      <c r="D7" s="31" t="s">
        <v>26</v>
      </c>
      <c r="E7" s="32">
        <v>70000</v>
      </c>
      <c r="G7" s="31" t="s">
        <v>4</v>
      </c>
      <c r="H7" s="32">
        <v>76000</v>
      </c>
      <c r="J7" s="31" t="s">
        <v>53</v>
      </c>
      <c r="K7" s="32">
        <v>62000</v>
      </c>
    </row>
    <row r="8" spans="1:14" x14ac:dyDescent="0.35">
      <c r="A8" s="31" t="s">
        <v>55</v>
      </c>
      <c r="B8" s="32">
        <v>104000</v>
      </c>
      <c r="D8" s="31" t="s">
        <v>39</v>
      </c>
      <c r="E8" s="32">
        <v>60000</v>
      </c>
      <c r="G8" s="31" t="s">
        <v>52</v>
      </c>
      <c r="H8" s="32">
        <v>97000</v>
      </c>
      <c r="J8" s="31" t="s">
        <v>35</v>
      </c>
      <c r="K8" s="32">
        <v>55000</v>
      </c>
    </row>
    <row r="9" spans="1:14" x14ac:dyDescent="0.35">
      <c r="A9" s="31" t="s">
        <v>6</v>
      </c>
      <c r="B9" s="32">
        <v>275000</v>
      </c>
      <c r="D9" s="31" t="s">
        <v>134</v>
      </c>
      <c r="E9" s="32">
        <v>312000</v>
      </c>
      <c r="G9" s="31" t="s">
        <v>134</v>
      </c>
      <c r="H9" s="32">
        <v>664000</v>
      </c>
      <c r="J9" s="31" t="s">
        <v>134</v>
      </c>
      <c r="K9" s="32">
        <v>312000</v>
      </c>
    </row>
    <row r="10" spans="1:14" x14ac:dyDescent="0.35">
      <c r="A10" s="31" t="s">
        <v>13</v>
      </c>
      <c r="B10" s="32">
        <v>60000</v>
      </c>
    </row>
    <row r="11" spans="1:14" x14ac:dyDescent="0.35">
      <c r="A11" s="31" t="s">
        <v>15</v>
      </c>
      <c r="B11" s="32">
        <v>48000</v>
      </c>
    </row>
    <row r="12" spans="1:14" x14ac:dyDescent="0.35">
      <c r="A12" s="31" t="s">
        <v>124</v>
      </c>
      <c r="B12" s="32">
        <v>39000</v>
      </c>
    </row>
    <row r="13" spans="1:14" x14ac:dyDescent="0.35">
      <c r="A13" s="31" t="s">
        <v>134</v>
      </c>
      <c r="B13" s="32">
        <v>873000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3362-0C3E-45DE-90A1-249B100362C2}">
  <dimension ref="A1"/>
  <sheetViews>
    <sheetView tabSelected="1" workbookViewId="0">
      <selection activeCell="J35" sqref="J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Employee_Data</vt:lpstr>
      <vt:lpstr>PivoTables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windows_10</dc:creator>
  <cp:keywords/>
  <dc:description/>
  <cp:lastModifiedBy>Akshay Nerkar</cp:lastModifiedBy>
  <cp:revision/>
  <cp:lastPrinted>2026-07-02T00:40:16Z</cp:lastPrinted>
  <dcterms:created xsi:type="dcterms:W3CDTF">2026-06-26T13:38:50Z</dcterms:created>
  <dcterms:modified xsi:type="dcterms:W3CDTF">2026-10-26T05:52:46Z</dcterms:modified>
  <cp:category/>
  <cp:contentStatus/>
</cp:coreProperties>
</file>